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s\Binus\Semester 3\Database\AOL\DB KEL 10 - Revisi\"/>
    </mc:Choice>
  </mc:AlternateContent>
  <xr:revisionPtr revIDLastSave="0" documentId="13_ncr:1_{DEA13091-776D-47A5-89AD-850F71601DC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unf" sheetId="13" r:id="rId1"/>
    <sheet name="1nf" sheetId="8" r:id="rId2"/>
    <sheet name="2nf" sheetId="10" r:id="rId3"/>
    <sheet name="3nf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" i="13" l="1"/>
  <c r="R27" i="13"/>
  <c r="S26" i="13"/>
  <c r="R26" i="13"/>
  <c r="S25" i="13"/>
  <c r="R25" i="13"/>
  <c r="S24" i="13"/>
  <c r="R24" i="13"/>
  <c r="S23" i="13"/>
  <c r="R23" i="13"/>
  <c r="S22" i="13"/>
  <c r="R22" i="13"/>
  <c r="S21" i="13"/>
  <c r="R21" i="13"/>
  <c r="S20" i="13"/>
  <c r="R20" i="13"/>
  <c r="S19" i="13"/>
  <c r="R19" i="13"/>
  <c r="S18" i="13"/>
  <c r="R18" i="13"/>
  <c r="S17" i="13"/>
  <c r="R17" i="13"/>
  <c r="S16" i="13"/>
  <c r="R16" i="13"/>
  <c r="S15" i="13"/>
  <c r="R15" i="13"/>
  <c r="S14" i="13"/>
  <c r="R14" i="13"/>
  <c r="S13" i="13"/>
  <c r="R13" i="13"/>
  <c r="S12" i="13"/>
  <c r="R12" i="13"/>
  <c r="S11" i="13"/>
  <c r="R11" i="13"/>
  <c r="S10" i="13"/>
  <c r="R10" i="13"/>
  <c r="S9" i="13"/>
  <c r="R9" i="13"/>
  <c r="S8" i="13"/>
  <c r="R8" i="13"/>
  <c r="S7" i="13"/>
  <c r="R7" i="13"/>
  <c r="S6" i="13"/>
  <c r="R6" i="13"/>
  <c r="S5" i="13"/>
  <c r="R5" i="13"/>
  <c r="S4" i="13"/>
  <c r="R4" i="13"/>
  <c r="S3" i="13"/>
  <c r="R3" i="13"/>
  <c r="S2" i="13"/>
  <c r="R2" i="13"/>
</calcChain>
</file>

<file path=xl/sharedStrings.xml><?xml version="1.0" encoding="utf-8"?>
<sst xmlns="http://schemas.openxmlformats.org/spreadsheetml/2006/main" count="1574" uniqueCount="261">
  <si>
    <t>CustomerID</t>
  </si>
  <si>
    <t>CustomerName</t>
  </si>
  <si>
    <t>CustomerAge</t>
  </si>
  <si>
    <t>CustomerEmail</t>
  </si>
  <si>
    <t>CustomerTelp</t>
  </si>
  <si>
    <t>CU001</t>
  </si>
  <si>
    <t>08509734187</t>
  </si>
  <si>
    <t>CU002</t>
  </si>
  <si>
    <t>08732826597</t>
  </si>
  <si>
    <t>CU003</t>
  </si>
  <si>
    <t>08770727390</t>
  </si>
  <si>
    <t>CU004</t>
  </si>
  <si>
    <t>08197978717</t>
  </si>
  <si>
    <t>CU005</t>
  </si>
  <si>
    <t>08520452472</t>
  </si>
  <si>
    <t>CU006</t>
  </si>
  <si>
    <t>08851878659</t>
  </si>
  <si>
    <t>CU007</t>
  </si>
  <si>
    <t>08439136046</t>
  </si>
  <si>
    <t>CU008</t>
  </si>
  <si>
    <t>08862390991</t>
  </si>
  <si>
    <t>CU009</t>
  </si>
  <si>
    <t>08888338341</t>
  </si>
  <si>
    <t>CU010</t>
  </si>
  <si>
    <t>08790574982</t>
  </si>
  <si>
    <t>StaffID</t>
  </si>
  <si>
    <t>StaffName</t>
  </si>
  <si>
    <t>StaffAge</t>
  </si>
  <si>
    <t>StaffEmail</t>
  </si>
  <si>
    <t>StaffTelp</t>
  </si>
  <si>
    <t>ST001</t>
  </si>
  <si>
    <t>08186704863</t>
  </si>
  <si>
    <t>ST002</t>
  </si>
  <si>
    <t>08891871026</t>
  </si>
  <si>
    <t>ST003</t>
  </si>
  <si>
    <t>08679643587</t>
  </si>
  <si>
    <t>ST004</t>
  </si>
  <si>
    <t>08469199586</t>
  </si>
  <si>
    <t>ST005</t>
  </si>
  <si>
    <t>08321900348</t>
  </si>
  <si>
    <t>ST006</t>
  </si>
  <si>
    <t>08974153389</t>
  </si>
  <si>
    <t>ST007</t>
  </si>
  <si>
    <t>08543524722</t>
  </si>
  <si>
    <t>ST008</t>
  </si>
  <si>
    <t>08691714489</t>
  </si>
  <si>
    <t>RoomID</t>
  </si>
  <si>
    <t>RoomTypeID</t>
  </si>
  <si>
    <t>RoomAvailability</t>
  </si>
  <si>
    <t>RM001</t>
  </si>
  <si>
    <t>RT003</t>
  </si>
  <si>
    <t>Maintenance</t>
  </si>
  <si>
    <t>RM002</t>
  </si>
  <si>
    <t>RM003</t>
  </si>
  <si>
    <t>RT004</t>
  </si>
  <si>
    <t>Available</t>
  </si>
  <si>
    <t>RM004</t>
  </si>
  <si>
    <t>RT001</t>
  </si>
  <si>
    <t>RM005</t>
  </si>
  <si>
    <t>RM006</t>
  </si>
  <si>
    <t>RM007</t>
  </si>
  <si>
    <t>RM008</t>
  </si>
  <si>
    <t>Occupied</t>
  </si>
  <si>
    <t>RM009</t>
  </si>
  <si>
    <t>RT002</t>
  </si>
  <si>
    <t>RM010</t>
  </si>
  <si>
    <t>RM011</t>
  </si>
  <si>
    <t>RM012</t>
  </si>
  <si>
    <t>RM013</t>
  </si>
  <si>
    <t>RM014</t>
  </si>
  <si>
    <t>RM015</t>
  </si>
  <si>
    <t>RM016</t>
  </si>
  <si>
    <t>RM017</t>
  </si>
  <si>
    <t>RM018</t>
  </si>
  <si>
    <t>RM019</t>
  </si>
  <si>
    <t>RM020</t>
  </si>
  <si>
    <t>RoomType</t>
  </si>
  <si>
    <t>RoomPrice</t>
  </si>
  <si>
    <t>Single</t>
  </si>
  <si>
    <t>Double</t>
  </si>
  <si>
    <t>Suite</t>
  </si>
  <si>
    <t>Deluxe</t>
  </si>
  <si>
    <t>PaymentTypeID</t>
  </si>
  <si>
    <t>PaymentTypeName</t>
  </si>
  <si>
    <t>PaymentFee</t>
  </si>
  <si>
    <t>PT001</t>
  </si>
  <si>
    <t>Cash</t>
  </si>
  <si>
    <t>PT002</t>
  </si>
  <si>
    <t>Credit Card</t>
  </si>
  <si>
    <t>PT003</t>
  </si>
  <si>
    <t>Debit Card</t>
  </si>
  <si>
    <t>PT004</t>
  </si>
  <si>
    <t>E-Wallet</t>
  </si>
  <si>
    <t>TransactionID</t>
  </si>
  <si>
    <t>TransactionDate</t>
  </si>
  <si>
    <t>CheckInDateTime</t>
  </si>
  <si>
    <t>CheckOutDateTime</t>
  </si>
  <si>
    <t>TR001</t>
  </si>
  <si>
    <t>2025-09-01</t>
  </si>
  <si>
    <t>2025-09-01 02:00</t>
  </si>
  <si>
    <t>2025-09-05 02:00</t>
  </si>
  <si>
    <t>TR002</t>
  </si>
  <si>
    <t>2025-09-02</t>
  </si>
  <si>
    <t>2025-09-02 01:00</t>
  </si>
  <si>
    <t>2025-09-06 01:00</t>
  </si>
  <si>
    <t>TR003</t>
  </si>
  <si>
    <t>2025-09-03</t>
  </si>
  <si>
    <t>2025-09-03 04:00</t>
  </si>
  <si>
    <t>2025-09-06 04:00</t>
  </si>
  <si>
    <t>TR004</t>
  </si>
  <si>
    <t>2025-09-04</t>
  </si>
  <si>
    <t>2025-09-04 03:00</t>
  </si>
  <si>
    <t>2025-09-06 03:00</t>
  </si>
  <si>
    <t>TR005</t>
  </si>
  <si>
    <t>2025-09-05</t>
  </si>
  <si>
    <t>2025-09-05 01:00</t>
  </si>
  <si>
    <t>2025-09-11 01:00</t>
  </si>
  <si>
    <t>TR006</t>
  </si>
  <si>
    <t>2025-09-06</t>
  </si>
  <si>
    <t>2025-09-06 02:00</t>
  </si>
  <si>
    <t>2025-09-07 02:00</t>
  </si>
  <si>
    <t>TR007</t>
  </si>
  <si>
    <t>2025-09-07</t>
  </si>
  <si>
    <t>2025-09-07 00:00</t>
  </si>
  <si>
    <t>2025-09-08 00:00</t>
  </si>
  <si>
    <t>TR008</t>
  </si>
  <si>
    <t>2025-09-08</t>
  </si>
  <si>
    <t>2025-09-09 00:00</t>
  </si>
  <si>
    <t>TR009</t>
  </si>
  <si>
    <t>2025-09-09</t>
  </si>
  <si>
    <t>2025-09-09 03:00</t>
  </si>
  <si>
    <t>2025-09-12 03:00</t>
  </si>
  <si>
    <t>TR010</t>
  </si>
  <si>
    <t>2025-09-10</t>
  </si>
  <si>
    <t>2025-09-10 00:00</t>
  </si>
  <si>
    <t>2025-09-15 00:00</t>
  </si>
  <si>
    <t>TR011</t>
  </si>
  <si>
    <t>2025-09-11</t>
  </si>
  <si>
    <t>2025-09-11 00:00</t>
  </si>
  <si>
    <t>TR012</t>
  </si>
  <si>
    <t>2025-09-12</t>
  </si>
  <si>
    <t>2025-09-12 01:00</t>
  </si>
  <si>
    <t>2025-09-16 01:00</t>
  </si>
  <si>
    <t>TR013</t>
  </si>
  <si>
    <t>2025-09-13</t>
  </si>
  <si>
    <t>2025-09-13 03:00</t>
  </si>
  <si>
    <t>2025-09-16 03:00</t>
  </si>
  <si>
    <t>TR014</t>
  </si>
  <si>
    <t>2025-09-14</t>
  </si>
  <si>
    <t>2025-09-14 01:00</t>
  </si>
  <si>
    <t>2025-09-17 01:00</t>
  </si>
  <si>
    <t>TR015</t>
  </si>
  <si>
    <t>2025-09-15</t>
  </si>
  <si>
    <t>2025-09-15 04:00</t>
  </si>
  <si>
    <t>2025-09-17 04:00</t>
  </si>
  <si>
    <t>HeaderID</t>
  </si>
  <si>
    <t>TH001</t>
  </si>
  <si>
    <t>TH002</t>
  </si>
  <si>
    <t>TH003</t>
  </si>
  <si>
    <t>TH004</t>
  </si>
  <si>
    <t>TH005</t>
  </si>
  <si>
    <t>TH006</t>
  </si>
  <si>
    <t>TH007</t>
  </si>
  <si>
    <t>TH008</t>
  </si>
  <si>
    <t>TH009</t>
  </si>
  <si>
    <t>TH010</t>
  </si>
  <si>
    <t>TH011</t>
  </si>
  <si>
    <t>TH012</t>
  </si>
  <si>
    <t>TH013</t>
  </si>
  <si>
    <t>TH014</t>
  </si>
  <si>
    <t>TH015</t>
  </si>
  <si>
    <t>PT005</t>
  </si>
  <si>
    <t>Qris</t>
  </si>
  <si>
    <t>Presidential Suite</t>
  </si>
  <si>
    <t>RT005</t>
  </si>
  <si>
    <t>Laura Bennett</t>
  </si>
  <si>
    <t>laura.bennett@gmail.com</t>
  </si>
  <si>
    <t>Ryan Coleman</t>
  </si>
  <si>
    <t>ryan.coleman@gmail.com</t>
  </si>
  <si>
    <t>Sophia Ramirez</t>
  </si>
  <si>
    <t>sophia.ramirez@gmail.com</t>
  </si>
  <si>
    <t>James Mitchell</t>
  </si>
  <si>
    <t>james.mitchell@gmail.com</t>
  </si>
  <si>
    <t>Isabella Rogers</t>
  </si>
  <si>
    <t>isabella.rogers@gmail.com</t>
  </si>
  <si>
    <t>Lucas Morgan</t>
  </si>
  <si>
    <t>lucas.morgan@gmail.com</t>
  </si>
  <si>
    <t>Mia Simmons</t>
  </si>
  <si>
    <t>mia.simmons@gmail.com</t>
  </si>
  <si>
    <t>Alexander Foster</t>
  </si>
  <si>
    <t>alexander.foster@gmail.com</t>
  </si>
  <si>
    <t>Chloe Reed</t>
  </si>
  <si>
    <t>chloe.reed@gmail.com</t>
  </si>
  <si>
    <t>Daniel Hayes</t>
  </si>
  <si>
    <t>daniel.hayes@gmail.com</t>
  </si>
  <si>
    <t>Grace Turner</t>
  </si>
  <si>
    <t>grace.turner@gmail.com</t>
  </si>
  <si>
    <t>Matthew Ross</t>
  </si>
  <si>
    <t>matthew.ross@gmail.com</t>
  </si>
  <si>
    <t>Ella Patterson</t>
  </si>
  <si>
    <t>ella.patterson@gmail.com</t>
  </si>
  <si>
    <t>Benjamin Brooks</t>
  </si>
  <si>
    <t>benjamin.brooks@gmail.com</t>
  </si>
  <si>
    <t>Ava Cooper</t>
  </si>
  <si>
    <t>ava.cooper@gmail.com</t>
  </si>
  <si>
    <t>Samuel Ward</t>
  </si>
  <si>
    <t>samuel.ward@gmail.com</t>
  </si>
  <si>
    <t>Lily Morgan</t>
  </si>
  <si>
    <t>lily.morgan@gmail.com</t>
  </si>
  <si>
    <t>David Bennett</t>
  </si>
  <si>
    <t>david.bennett@gmail.com</t>
  </si>
  <si>
    <t>TH016</t>
  </si>
  <si>
    <t>TH017</t>
  </si>
  <si>
    <t>TH018</t>
  </si>
  <si>
    <t>TH019</t>
  </si>
  <si>
    <t>TH020</t>
  </si>
  <si>
    <t>TH021</t>
  </si>
  <si>
    <t>TH022</t>
  </si>
  <si>
    <t>TH023</t>
  </si>
  <si>
    <t>TH024</t>
  </si>
  <si>
    <t>TH025</t>
  </si>
  <si>
    <t>TH026</t>
  </si>
  <si>
    <t>TR016</t>
  </si>
  <si>
    <t>TR017</t>
  </si>
  <si>
    <t>TR018</t>
  </si>
  <si>
    <t>TR019</t>
  </si>
  <si>
    <t>TR020</t>
  </si>
  <si>
    <t>TR021</t>
  </si>
  <si>
    <t>TR022</t>
  </si>
  <si>
    <t>TR023</t>
  </si>
  <si>
    <t>TR024</t>
  </si>
  <si>
    <t>TR025</t>
  </si>
  <si>
    <t>TR026</t>
  </si>
  <si>
    <t>TransactionHeader</t>
  </si>
  <si>
    <t>Ms Transaction</t>
  </si>
  <si>
    <t>MsPaymentType</t>
  </si>
  <si>
    <t>MsRoomDetail</t>
  </si>
  <si>
    <t>Customer</t>
  </si>
  <si>
    <t>MsTransaction</t>
  </si>
  <si>
    <t>Total</t>
  </si>
  <si>
    <t>Time Spent</t>
  </si>
  <si>
    <t>MsRoom</t>
  </si>
  <si>
    <t>MsStaff</t>
  </si>
  <si>
    <t>MsCustomer</t>
  </si>
  <si>
    <t>Ryan Coleman, 22, ryan.coleman@gmail.com, 8732826597</t>
  </si>
  <si>
    <t>Daniel Hayes, 27, daniel.hayes@gmail.com, 8790574982</t>
  </si>
  <si>
    <t>Chloe Reed, 45, chloe.reed@gmail.com, 8888338341</t>
  </si>
  <si>
    <t>Mia Simmons, 54, mia.simmons@gmail.com, 8439136046</t>
  </si>
  <si>
    <t>Sophia Ramirez, 35, sophia.ramirez@gmail.com, 8770727390</t>
  </si>
  <si>
    <t>Laura Bennett, 49, laura.bennett@gmail.com, 8509734187</t>
  </si>
  <si>
    <t>Isabella Rogers, 27, isabella.rogers@gmail.com, 8520452472</t>
  </si>
  <si>
    <t>Lucas Morgan, 38, lucas.morgan@gmail.com, 8851878659</t>
  </si>
  <si>
    <t>ryan coleman, 22, ryan.coleman@gmail.com, 8732826597</t>
  </si>
  <si>
    <t>Daniel Hayes, 27, daniel.hayes@gmail.com, 879-057-4982</t>
  </si>
  <si>
    <t>Sophia Ramirez, 35, sophia.ramirez@gmail.com, 877-072-7390</t>
  </si>
  <si>
    <t>James Mitchell, 29, james.mitchell@mail.com, 8197978717</t>
  </si>
  <si>
    <t>Daniel Hayes, 27, daniel.hayes*gmail.com, 8790574982</t>
  </si>
  <si>
    <t>Daniel Hayes, 30, daniel.hayes@gmail.com, 8790574982</t>
  </si>
  <si>
    <t>james Mitchell, 29, james.mitchell@gmail.com, 8197978717</t>
  </si>
  <si>
    <t>Laura Bennett, 49, laura_bennett@gmail.com, 8509734187</t>
  </si>
  <si>
    <t>Lucas Morgan, 38, lucas.morgan@gamil.com, 8851878659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</si>
</sst>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0" xfId="0" applyFont="1"/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22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0232-3271-48A8-8276-83D0D05CF5FA}">
  <dimension ref="A1:S27"/>
  <sheetViews>
    <sheetView tabSelected="1" zoomScale="115" zoomScaleNormal="115" workbookViewId="0">
      <selection activeCell="C3" sqref="C3"/>
    </sheetView>
  </sheetViews>
  <sheetFormatPr defaultRowHeight="14.5" x14ac:dyDescent="0.35"/>
  <cols>
    <col min="1" max="1" width="13.1796875" bestFit="1" customWidth="1"/>
    <col min="2" max="2" width="15.453125" bestFit="1" customWidth="1"/>
    <col min="3" max="3" width="18.7265625" bestFit="1" customWidth="1"/>
    <col min="4" max="4" width="12.1796875" bestFit="1" customWidth="1"/>
    <col min="5" max="5" width="8" bestFit="1" customWidth="1"/>
    <col min="6" max="6" width="16.26953125" bestFit="1" customWidth="1"/>
    <col min="7" max="7" width="16.81640625" bestFit="1" customWidth="1"/>
    <col min="8" max="8" width="10.54296875" bestFit="1" customWidth="1"/>
    <col min="9" max="9" width="16.7265625" bestFit="1" customWidth="1"/>
    <col min="10" max="10" width="18.453125" bestFit="1" customWidth="1"/>
    <col min="11" max="11" width="11" bestFit="1" customWidth="1"/>
    <col min="12" max="12" width="56.81640625" customWidth="1"/>
    <col min="13" max="13" width="13.1796875" bestFit="1" customWidth="1"/>
    <col min="14" max="14" width="15" bestFit="1" customWidth="1"/>
    <col min="15" max="15" width="7.90625" bestFit="1" customWidth="1"/>
    <col min="16" max="16" width="25.54296875" bestFit="1" customWidth="1"/>
    <col min="17" max="17" width="13.6328125" customWidth="1"/>
    <col min="18" max="18" width="8.54296875" bestFit="1" customWidth="1"/>
    <col min="19" max="19" width="10.1796875" bestFit="1" customWidth="1"/>
    <col min="20" max="20" width="11.54296875" bestFit="1" customWidth="1"/>
    <col min="22" max="22" width="14.7265625" customWidth="1"/>
  </cols>
  <sheetData>
    <row r="1" spans="1:19" x14ac:dyDescent="0.35">
      <c r="A1" s="12" t="s">
        <v>93</v>
      </c>
      <c r="B1" s="12" t="s">
        <v>94</v>
      </c>
      <c r="C1" s="12" t="s">
        <v>83</v>
      </c>
      <c r="D1" s="12" t="s">
        <v>84</v>
      </c>
      <c r="E1" s="12" t="s">
        <v>46</v>
      </c>
      <c r="F1" s="12" t="s">
        <v>48</v>
      </c>
      <c r="G1" s="12" t="s">
        <v>76</v>
      </c>
      <c r="H1" s="12" t="s">
        <v>77</v>
      </c>
      <c r="I1" s="12" t="s">
        <v>95</v>
      </c>
      <c r="J1" s="12" t="s">
        <v>96</v>
      </c>
      <c r="K1" s="12" t="s">
        <v>0</v>
      </c>
      <c r="L1" s="12" t="s">
        <v>237</v>
      </c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  <c r="R1" s="12" t="s">
        <v>239</v>
      </c>
      <c r="S1" s="12" t="s">
        <v>240</v>
      </c>
    </row>
    <row r="2" spans="1:19" x14ac:dyDescent="0.35">
      <c r="A2" s="6" t="s">
        <v>97</v>
      </c>
      <c r="B2" s="7">
        <v>45901</v>
      </c>
      <c r="C2" s="6" t="s">
        <v>172</v>
      </c>
      <c r="D2" s="6">
        <v>0</v>
      </c>
      <c r="E2" s="6" t="s">
        <v>49</v>
      </c>
      <c r="F2" s="6" t="s">
        <v>51</v>
      </c>
      <c r="G2" s="6" t="s">
        <v>80</v>
      </c>
      <c r="H2" s="6">
        <v>900000</v>
      </c>
      <c r="I2" s="8">
        <v>45901.083333333336</v>
      </c>
      <c r="J2" s="8">
        <v>45905.083333333336</v>
      </c>
      <c r="K2" s="6" t="s">
        <v>7</v>
      </c>
      <c r="L2" s="6" t="s">
        <v>252</v>
      </c>
      <c r="M2" s="6" t="s">
        <v>32</v>
      </c>
      <c r="N2" s="6" t="s">
        <v>197</v>
      </c>
      <c r="O2" s="6">
        <v>32</v>
      </c>
      <c r="P2" s="6" t="s">
        <v>198</v>
      </c>
      <c r="Q2" s="6">
        <v>8891871026</v>
      </c>
      <c r="R2" s="6">
        <f>H2+D2</f>
        <v>900000</v>
      </c>
      <c r="S2" s="6">
        <f>-(I2 - J2) * 24</f>
        <v>96</v>
      </c>
    </row>
    <row r="3" spans="1:19" x14ac:dyDescent="0.35">
      <c r="A3" s="6" t="s">
        <v>101</v>
      </c>
      <c r="B3" s="7">
        <v>45902</v>
      </c>
      <c r="C3" s="6" t="s">
        <v>86</v>
      </c>
      <c r="D3" s="6">
        <v>0</v>
      </c>
      <c r="E3" s="6" t="s">
        <v>67</v>
      </c>
      <c r="F3" s="6" t="s">
        <v>55</v>
      </c>
      <c r="G3" s="6" t="s">
        <v>79</v>
      </c>
      <c r="H3" s="6">
        <v>500000</v>
      </c>
      <c r="I3" s="8">
        <v>45902.041666666664</v>
      </c>
      <c r="J3" s="8">
        <v>45906.041666666664</v>
      </c>
      <c r="K3" s="13" t="s">
        <v>23</v>
      </c>
      <c r="L3" s="13" t="s">
        <v>253</v>
      </c>
      <c r="M3" s="6" t="s">
        <v>30</v>
      </c>
      <c r="N3" s="6" t="s">
        <v>195</v>
      </c>
      <c r="O3" s="6">
        <v>51</v>
      </c>
      <c r="P3" s="6" t="s">
        <v>196</v>
      </c>
      <c r="Q3" s="6">
        <v>8186704863</v>
      </c>
      <c r="R3" s="6">
        <f t="shared" ref="R3:R27" si="0">H3+D3</f>
        <v>500000</v>
      </c>
      <c r="S3" s="6">
        <f t="shared" ref="S3:S27" si="1">-(I3 - J3) * 24</f>
        <v>96</v>
      </c>
    </row>
    <row r="4" spans="1:19" x14ac:dyDescent="0.35">
      <c r="A4" s="6" t="s">
        <v>105</v>
      </c>
      <c r="B4" s="7">
        <v>45903</v>
      </c>
      <c r="C4" s="6" t="s">
        <v>88</v>
      </c>
      <c r="D4" s="6">
        <v>1500</v>
      </c>
      <c r="E4" s="6" t="s">
        <v>65</v>
      </c>
      <c r="F4" s="6" t="s">
        <v>62</v>
      </c>
      <c r="G4" s="6" t="s">
        <v>79</v>
      </c>
      <c r="H4" s="6">
        <v>500000</v>
      </c>
      <c r="I4" s="8">
        <v>45903.166666666664</v>
      </c>
      <c r="J4" s="8">
        <v>45906.166666666664</v>
      </c>
      <c r="K4" s="13"/>
      <c r="L4" s="13"/>
      <c r="M4" s="6" t="s">
        <v>32</v>
      </c>
      <c r="N4" s="6" t="s">
        <v>197</v>
      </c>
      <c r="O4" s="6">
        <v>32</v>
      </c>
      <c r="P4" s="6" t="s">
        <v>198</v>
      </c>
      <c r="Q4" s="6">
        <v>8891871026</v>
      </c>
      <c r="R4" s="6">
        <f t="shared" si="0"/>
        <v>501500</v>
      </c>
      <c r="S4" s="6">
        <f t="shared" si="1"/>
        <v>72</v>
      </c>
    </row>
    <row r="5" spans="1:19" x14ac:dyDescent="0.35">
      <c r="A5" s="6" t="s">
        <v>109</v>
      </c>
      <c r="B5" s="7">
        <v>45904</v>
      </c>
      <c r="C5" s="6" t="s">
        <v>90</v>
      </c>
      <c r="D5" s="6">
        <v>1000</v>
      </c>
      <c r="E5" s="6" t="s">
        <v>71</v>
      </c>
      <c r="F5" s="6" t="s">
        <v>62</v>
      </c>
      <c r="G5" s="6" t="s">
        <v>80</v>
      </c>
      <c r="H5" s="6">
        <v>900000</v>
      </c>
      <c r="I5" s="8">
        <v>45904.125</v>
      </c>
      <c r="J5" s="8">
        <v>45906.125</v>
      </c>
      <c r="K5" s="6" t="s">
        <v>21</v>
      </c>
      <c r="L5" s="6" t="s">
        <v>246</v>
      </c>
      <c r="M5" s="6" t="s">
        <v>44</v>
      </c>
      <c r="N5" s="6" t="s">
        <v>209</v>
      </c>
      <c r="O5" s="6">
        <v>37</v>
      </c>
      <c r="P5" s="6" t="s">
        <v>210</v>
      </c>
      <c r="Q5" s="6">
        <v>8691714489</v>
      </c>
      <c r="R5" s="6">
        <f t="shared" si="0"/>
        <v>901000</v>
      </c>
      <c r="S5" s="6">
        <f t="shared" si="1"/>
        <v>48</v>
      </c>
    </row>
    <row r="6" spans="1:19" x14ac:dyDescent="0.35">
      <c r="A6" s="6" t="s">
        <v>113</v>
      </c>
      <c r="B6" s="7">
        <v>45905</v>
      </c>
      <c r="C6" s="6" t="s">
        <v>172</v>
      </c>
      <c r="D6" s="6">
        <v>0</v>
      </c>
      <c r="E6" s="6" t="s">
        <v>68</v>
      </c>
      <c r="F6" s="6" t="s">
        <v>62</v>
      </c>
      <c r="G6" s="6" t="s">
        <v>80</v>
      </c>
      <c r="H6" s="6">
        <v>900000</v>
      </c>
      <c r="I6" s="8">
        <v>45905.041666666664</v>
      </c>
      <c r="J6" s="8">
        <v>45911.041666666664</v>
      </c>
      <c r="K6" s="6" t="s">
        <v>23</v>
      </c>
      <c r="L6" s="6" t="s">
        <v>245</v>
      </c>
      <c r="M6" s="6" t="s">
        <v>44</v>
      </c>
      <c r="N6" s="6" t="s">
        <v>209</v>
      </c>
      <c r="O6" s="6">
        <v>37</v>
      </c>
      <c r="P6" s="6" t="s">
        <v>210</v>
      </c>
      <c r="Q6" s="6">
        <v>8691714489</v>
      </c>
      <c r="R6" s="6">
        <f t="shared" si="0"/>
        <v>900000</v>
      </c>
      <c r="S6" s="6">
        <f t="shared" si="1"/>
        <v>144</v>
      </c>
    </row>
    <row r="7" spans="1:19" x14ac:dyDescent="0.35">
      <c r="A7" s="6" t="s">
        <v>117</v>
      </c>
      <c r="B7" s="7">
        <v>45906</v>
      </c>
      <c r="C7" s="6" t="s">
        <v>88</v>
      </c>
      <c r="D7" s="6">
        <v>1500</v>
      </c>
      <c r="E7" s="6" t="s">
        <v>49</v>
      </c>
      <c r="F7" s="6" t="s">
        <v>51</v>
      </c>
      <c r="G7" s="6" t="s">
        <v>80</v>
      </c>
      <c r="H7" s="6">
        <v>900000</v>
      </c>
      <c r="I7" s="8">
        <v>45906.083333333336</v>
      </c>
      <c r="J7" s="8">
        <v>45907.083333333336</v>
      </c>
      <c r="K7" s="6" t="s">
        <v>17</v>
      </c>
      <c r="L7" s="6" t="s">
        <v>247</v>
      </c>
      <c r="M7" s="6" t="s">
        <v>36</v>
      </c>
      <c r="N7" s="6" t="s">
        <v>201</v>
      </c>
      <c r="O7" s="6">
        <v>51</v>
      </c>
      <c r="P7" s="6" t="s">
        <v>202</v>
      </c>
      <c r="Q7" s="6">
        <v>8469199586</v>
      </c>
      <c r="R7" s="6">
        <f t="shared" si="0"/>
        <v>901500</v>
      </c>
      <c r="S7" s="6">
        <f t="shared" si="1"/>
        <v>24</v>
      </c>
    </row>
    <row r="8" spans="1:19" x14ac:dyDescent="0.35">
      <c r="A8" s="6" t="s">
        <v>121</v>
      </c>
      <c r="B8" s="7">
        <v>45907</v>
      </c>
      <c r="C8" s="6" t="s">
        <v>92</v>
      </c>
      <c r="D8" s="6">
        <v>500</v>
      </c>
      <c r="E8" s="6" t="s">
        <v>71</v>
      </c>
      <c r="F8" s="6" t="s">
        <v>62</v>
      </c>
      <c r="G8" s="6" t="s">
        <v>80</v>
      </c>
      <c r="H8" s="6">
        <v>900000</v>
      </c>
      <c r="I8" s="8">
        <v>45907</v>
      </c>
      <c r="J8" s="8">
        <v>45908</v>
      </c>
      <c r="K8" s="6" t="s">
        <v>9</v>
      </c>
      <c r="L8" s="6" t="s">
        <v>248</v>
      </c>
      <c r="M8" s="6" t="s">
        <v>42</v>
      </c>
      <c r="N8" s="6" t="s">
        <v>207</v>
      </c>
      <c r="O8" s="6">
        <v>31</v>
      </c>
      <c r="P8" s="6" t="s">
        <v>208</v>
      </c>
      <c r="Q8" s="6">
        <v>8543524722</v>
      </c>
      <c r="R8" s="6">
        <f t="shared" si="0"/>
        <v>900500</v>
      </c>
      <c r="S8" s="6">
        <f t="shared" si="1"/>
        <v>24</v>
      </c>
    </row>
    <row r="9" spans="1:19" x14ac:dyDescent="0.35">
      <c r="A9" s="6" t="s">
        <v>125</v>
      </c>
      <c r="B9" s="7">
        <v>45908</v>
      </c>
      <c r="C9" s="6" t="s">
        <v>88</v>
      </c>
      <c r="D9" s="6">
        <v>1500</v>
      </c>
      <c r="E9" s="6" t="s">
        <v>71</v>
      </c>
      <c r="F9" s="6" t="s">
        <v>62</v>
      </c>
      <c r="G9" s="6" t="s">
        <v>80</v>
      </c>
      <c r="H9" s="6">
        <v>900000</v>
      </c>
      <c r="I9" s="8">
        <v>45908</v>
      </c>
      <c r="J9" s="8">
        <v>45909</v>
      </c>
      <c r="K9" s="6" t="s">
        <v>23</v>
      </c>
      <c r="L9" s="6" t="s">
        <v>245</v>
      </c>
      <c r="M9" s="6" t="s">
        <v>32</v>
      </c>
      <c r="N9" s="6" t="s">
        <v>197</v>
      </c>
      <c r="O9" s="6">
        <v>32</v>
      </c>
      <c r="P9" s="6" t="s">
        <v>198</v>
      </c>
      <c r="Q9" s="6">
        <v>8891871026</v>
      </c>
      <c r="R9" s="6">
        <f t="shared" si="0"/>
        <v>901500</v>
      </c>
      <c r="S9" s="6">
        <f t="shared" si="1"/>
        <v>24</v>
      </c>
    </row>
    <row r="10" spans="1:19" x14ac:dyDescent="0.35">
      <c r="A10" s="6" t="s">
        <v>128</v>
      </c>
      <c r="B10" s="7">
        <v>45909</v>
      </c>
      <c r="C10" s="6" t="s">
        <v>172</v>
      </c>
      <c r="D10" s="6">
        <v>0</v>
      </c>
      <c r="E10" s="6" t="s">
        <v>67</v>
      </c>
      <c r="F10" s="6" t="s">
        <v>55</v>
      </c>
      <c r="G10" s="6" t="s">
        <v>79</v>
      </c>
      <c r="H10" s="6">
        <v>500000</v>
      </c>
      <c r="I10" s="8">
        <v>45909.125</v>
      </c>
      <c r="J10" s="8">
        <v>45912.125</v>
      </c>
      <c r="K10" s="6" t="s">
        <v>5</v>
      </c>
      <c r="L10" s="6" t="s">
        <v>259</v>
      </c>
      <c r="M10" s="6" t="s">
        <v>44</v>
      </c>
      <c r="N10" s="6" t="s">
        <v>209</v>
      </c>
      <c r="O10" s="6">
        <v>37</v>
      </c>
      <c r="P10" s="6" t="s">
        <v>210</v>
      </c>
      <c r="Q10" s="6">
        <v>8691714489</v>
      </c>
      <c r="R10" s="6">
        <f t="shared" si="0"/>
        <v>500000</v>
      </c>
      <c r="S10" s="6">
        <f t="shared" si="1"/>
        <v>72</v>
      </c>
    </row>
    <row r="11" spans="1:19" x14ac:dyDescent="0.35">
      <c r="A11" s="6" t="s">
        <v>132</v>
      </c>
      <c r="B11" s="7">
        <v>45910</v>
      </c>
      <c r="C11" s="6" t="s">
        <v>88</v>
      </c>
      <c r="D11" s="6">
        <v>1500</v>
      </c>
      <c r="E11" s="6" t="s">
        <v>66</v>
      </c>
      <c r="F11" s="6" t="s">
        <v>51</v>
      </c>
      <c r="G11" s="6" t="s">
        <v>80</v>
      </c>
      <c r="H11" s="6">
        <v>900000</v>
      </c>
      <c r="I11" s="8">
        <v>45910</v>
      </c>
      <c r="J11" s="8">
        <v>45915</v>
      </c>
      <c r="K11" s="13" t="s">
        <v>11</v>
      </c>
      <c r="L11" s="13" t="s">
        <v>258</v>
      </c>
      <c r="M11" s="6" t="s">
        <v>38</v>
      </c>
      <c r="N11" s="6" t="s">
        <v>203</v>
      </c>
      <c r="O11" s="6">
        <v>58</v>
      </c>
      <c r="P11" s="6" t="s">
        <v>204</v>
      </c>
      <c r="Q11" s="6">
        <v>8321900348</v>
      </c>
      <c r="R11" s="6">
        <f t="shared" si="0"/>
        <v>901500</v>
      </c>
      <c r="S11" s="6">
        <f t="shared" si="1"/>
        <v>120</v>
      </c>
    </row>
    <row r="12" spans="1:19" x14ac:dyDescent="0.35">
      <c r="A12" s="6" t="s">
        <v>136</v>
      </c>
      <c r="B12" s="7">
        <v>45911</v>
      </c>
      <c r="C12" s="6" t="s">
        <v>86</v>
      </c>
      <c r="D12" s="6">
        <v>0</v>
      </c>
      <c r="E12" s="6" t="s">
        <v>58</v>
      </c>
      <c r="F12" s="6" t="s">
        <v>51</v>
      </c>
      <c r="G12" s="6" t="s">
        <v>78</v>
      </c>
      <c r="H12" s="6">
        <v>350000</v>
      </c>
      <c r="I12" s="8">
        <v>45911</v>
      </c>
      <c r="J12" s="8">
        <v>45915</v>
      </c>
      <c r="K12" s="13"/>
      <c r="L12" s="13"/>
      <c r="M12" s="6" t="s">
        <v>32</v>
      </c>
      <c r="N12" s="6" t="s">
        <v>197</v>
      </c>
      <c r="O12" s="6">
        <v>32</v>
      </c>
      <c r="P12" s="6" t="s">
        <v>198</v>
      </c>
      <c r="Q12" s="6">
        <v>8891871026</v>
      </c>
      <c r="R12" s="6">
        <f t="shared" si="0"/>
        <v>350000</v>
      </c>
      <c r="S12" s="6">
        <f t="shared" si="1"/>
        <v>96</v>
      </c>
    </row>
    <row r="13" spans="1:19" x14ac:dyDescent="0.35">
      <c r="A13" s="6" t="s">
        <v>139</v>
      </c>
      <c r="B13" s="7">
        <v>45912</v>
      </c>
      <c r="C13" s="6" t="s">
        <v>92</v>
      </c>
      <c r="D13" s="6">
        <v>500</v>
      </c>
      <c r="E13" s="6" t="s">
        <v>66</v>
      </c>
      <c r="F13" s="6" t="s">
        <v>51</v>
      </c>
      <c r="G13" s="6" t="s">
        <v>80</v>
      </c>
      <c r="H13" s="6">
        <v>900000</v>
      </c>
      <c r="I13" s="8">
        <v>45912.041666666664</v>
      </c>
      <c r="J13" s="8">
        <v>45916.041666666664</v>
      </c>
      <c r="K13" s="6" t="s">
        <v>23</v>
      </c>
      <c r="L13" s="6" t="s">
        <v>250</v>
      </c>
      <c r="M13" s="6" t="s">
        <v>38</v>
      </c>
      <c r="N13" s="6" t="s">
        <v>203</v>
      </c>
      <c r="O13" s="6">
        <v>58</v>
      </c>
      <c r="P13" s="6" t="s">
        <v>204</v>
      </c>
      <c r="Q13" s="6">
        <v>8321900348</v>
      </c>
      <c r="R13" s="6">
        <f t="shared" si="0"/>
        <v>900500</v>
      </c>
      <c r="S13" s="6">
        <f t="shared" si="1"/>
        <v>96</v>
      </c>
    </row>
    <row r="14" spans="1:19" x14ac:dyDescent="0.35">
      <c r="A14" s="6" t="s">
        <v>143</v>
      </c>
      <c r="B14" s="7">
        <v>45913</v>
      </c>
      <c r="C14" s="6" t="s">
        <v>86</v>
      </c>
      <c r="D14" s="6">
        <v>0</v>
      </c>
      <c r="E14" s="6" t="s">
        <v>68</v>
      </c>
      <c r="F14" s="6" t="s">
        <v>62</v>
      </c>
      <c r="G14" s="6" t="s">
        <v>80</v>
      </c>
      <c r="H14" s="6">
        <v>900000</v>
      </c>
      <c r="I14" s="8">
        <v>45913.125</v>
      </c>
      <c r="J14" s="8">
        <v>45916.125</v>
      </c>
      <c r="K14" s="6" t="s">
        <v>15</v>
      </c>
      <c r="L14" s="6" t="s">
        <v>260</v>
      </c>
      <c r="M14" s="6" t="s">
        <v>40</v>
      </c>
      <c r="N14" s="6" t="s">
        <v>205</v>
      </c>
      <c r="O14" s="6">
        <v>48</v>
      </c>
      <c r="P14" s="6" t="s">
        <v>206</v>
      </c>
      <c r="Q14" s="6">
        <v>8974153389</v>
      </c>
      <c r="R14" s="6">
        <f t="shared" si="0"/>
        <v>900000</v>
      </c>
      <c r="S14" s="6">
        <f t="shared" si="1"/>
        <v>72</v>
      </c>
    </row>
    <row r="15" spans="1:19" x14ac:dyDescent="0.35">
      <c r="A15" s="6" t="s">
        <v>147</v>
      </c>
      <c r="B15" s="7">
        <v>45914</v>
      </c>
      <c r="C15" s="6" t="s">
        <v>90</v>
      </c>
      <c r="D15" s="6">
        <v>1000</v>
      </c>
      <c r="E15" s="6" t="s">
        <v>53</v>
      </c>
      <c r="F15" s="6" t="s">
        <v>55</v>
      </c>
      <c r="G15" s="6" t="s">
        <v>81</v>
      </c>
      <c r="H15" s="6">
        <v>1200000</v>
      </c>
      <c r="I15" s="8">
        <v>45914.041666666664</v>
      </c>
      <c r="J15" s="8">
        <v>45917.041666666664</v>
      </c>
      <c r="K15" s="6" t="s">
        <v>9</v>
      </c>
      <c r="L15" s="6" t="s">
        <v>248</v>
      </c>
      <c r="M15" s="6" t="s">
        <v>30</v>
      </c>
      <c r="N15" s="6" t="s">
        <v>195</v>
      </c>
      <c r="O15" s="6">
        <v>51</v>
      </c>
      <c r="P15" s="6" t="s">
        <v>196</v>
      </c>
      <c r="Q15" s="6">
        <v>8186704863</v>
      </c>
      <c r="R15" s="6">
        <f t="shared" si="0"/>
        <v>1201000</v>
      </c>
      <c r="S15" s="6">
        <f t="shared" si="1"/>
        <v>72</v>
      </c>
    </row>
    <row r="16" spans="1:19" x14ac:dyDescent="0.35">
      <c r="A16" s="6" t="s">
        <v>151</v>
      </c>
      <c r="B16" s="7">
        <v>45915</v>
      </c>
      <c r="C16" s="6" t="s">
        <v>86</v>
      </c>
      <c r="D16" s="6">
        <v>0</v>
      </c>
      <c r="E16" s="6" t="s">
        <v>70</v>
      </c>
      <c r="F16" s="6" t="s">
        <v>51</v>
      </c>
      <c r="G16" s="6" t="s">
        <v>80</v>
      </c>
      <c r="H16" s="6">
        <v>900000</v>
      </c>
      <c r="I16" s="8">
        <v>45915.166666666664</v>
      </c>
      <c r="J16" s="8">
        <v>45917.166666666664</v>
      </c>
      <c r="K16" s="6" t="s">
        <v>15</v>
      </c>
      <c r="L16" s="6" t="s">
        <v>251</v>
      </c>
      <c r="M16" s="6" t="s">
        <v>34</v>
      </c>
      <c r="N16" s="6" t="s">
        <v>199</v>
      </c>
      <c r="O16" s="6">
        <v>54</v>
      </c>
      <c r="P16" s="6" t="s">
        <v>200</v>
      </c>
      <c r="Q16" s="6">
        <v>8679643587</v>
      </c>
      <c r="R16" s="6">
        <f t="shared" si="0"/>
        <v>900000</v>
      </c>
      <c r="S16" s="6">
        <f t="shared" si="1"/>
        <v>48</v>
      </c>
    </row>
    <row r="17" spans="1:19" x14ac:dyDescent="0.35">
      <c r="A17" s="6" t="s">
        <v>222</v>
      </c>
      <c r="B17" s="7">
        <v>45901</v>
      </c>
      <c r="C17" s="6" t="s">
        <v>172</v>
      </c>
      <c r="D17" s="6">
        <v>0</v>
      </c>
      <c r="E17" s="6" t="s">
        <v>52</v>
      </c>
      <c r="F17" s="6" t="s">
        <v>51</v>
      </c>
      <c r="G17" s="6" t="s">
        <v>80</v>
      </c>
      <c r="H17" s="6">
        <v>900000</v>
      </c>
      <c r="I17" s="8">
        <v>45901.083333333336</v>
      </c>
      <c r="J17" s="8">
        <v>45905.083333333336</v>
      </c>
      <c r="K17" s="6" t="s">
        <v>7</v>
      </c>
      <c r="L17" s="6" t="s">
        <v>244</v>
      </c>
      <c r="M17" s="6" t="s">
        <v>32</v>
      </c>
      <c r="N17" s="6" t="s">
        <v>197</v>
      </c>
      <c r="O17" s="6">
        <v>32</v>
      </c>
      <c r="P17" s="6" t="s">
        <v>198</v>
      </c>
      <c r="Q17" s="6">
        <v>8891871026</v>
      </c>
      <c r="R17" s="6">
        <f t="shared" si="0"/>
        <v>900000</v>
      </c>
      <c r="S17" s="6">
        <f t="shared" si="1"/>
        <v>96</v>
      </c>
    </row>
    <row r="18" spans="1:19" x14ac:dyDescent="0.35">
      <c r="A18" s="6" t="s">
        <v>223</v>
      </c>
      <c r="B18" s="7">
        <v>45902</v>
      </c>
      <c r="C18" s="6" t="s">
        <v>86</v>
      </c>
      <c r="D18" s="6">
        <v>0</v>
      </c>
      <c r="E18" s="6" t="s">
        <v>56</v>
      </c>
      <c r="F18" s="6" t="s">
        <v>55</v>
      </c>
      <c r="G18" s="6" t="s">
        <v>81</v>
      </c>
      <c r="H18" s="6">
        <v>1200000</v>
      </c>
      <c r="I18" s="8">
        <v>45902.041666666664</v>
      </c>
      <c r="J18" s="8">
        <v>45906.041666666664</v>
      </c>
      <c r="K18" s="13" t="s">
        <v>23</v>
      </c>
      <c r="L18" s="13" t="s">
        <v>245</v>
      </c>
      <c r="M18" s="6" t="s">
        <v>30</v>
      </c>
      <c r="N18" s="6" t="s">
        <v>195</v>
      </c>
      <c r="O18" s="6">
        <v>51</v>
      </c>
      <c r="P18" s="6" t="s">
        <v>196</v>
      </c>
      <c r="Q18" s="6">
        <v>8186704863</v>
      </c>
      <c r="R18" s="6">
        <f t="shared" si="0"/>
        <v>1200000</v>
      </c>
      <c r="S18" s="6">
        <f t="shared" si="1"/>
        <v>96</v>
      </c>
    </row>
    <row r="19" spans="1:19" x14ac:dyDescent="0.35">
      <c r="A19" s="6" t="s">
        <v>224</v>
      </c>
      <c r="B19" s="7">
        <v>45903</v>
      </c>
      <c r="C19" s="6" t="s">
        <v>88</v>
      </c>
      <c r="D19" s="6">
        <v>1500</v>
      </c>
      <c r="E19" s="6" t="s">
        <v>59</v>
      </c>
      <c r="F19" s="6" t="s">
        <v>51</v>
      </c>
      <c r="G19" s="6" t="s">
        <v>78</v>
      </c>
      <c r="H19" s="6">
        <v>350000</v>
      </c>
      <c r="I19" s="8">
        <v>45903.166666666664</v>
      </c>
      <c r="J19" s="8">
        <v>45906.166666666664</v>
      </c>
      <c r="K19" s="13"/>
      <c r="L19" s="13"/>
      <c r="M19" s="6" t="s">
        <v>32</v>
      </c>
      <c r="N19" s="6" t="s">
        <v>197</v>
      </c>
      <c r="O19" s="6">
        <v>32</v>
      </c>
      <c r="P19" s="6" t="s">
        <v>198</v>
      </c>
      <c r="Q19" s="6">
        <v>8891871026</v>
      </c>
      <c r="R19" s="6">
        <f t="shared" si="0"/>
        <v>351500</v>
      </c>
      <c r="S19" s="6">
        <f t="shared" si="1"/>
        <v>72</v>
      </c>
    </row>
    <row r="20" spans="1:19" x14ac:dyDescent="0.35">
      <c r="A20" s="6" t="s">
        <v>225</v>
      </c>
      <c r="B20" s="7">
        <v>45904</v>
      </c>
      <c r="C20" s="6" t="s">
        <v>90</v>
      </c>
      <c r="D20" s="6">
        <v>1000</v>
      </c>
      <c r="E20" s="6" t="s">
        <v>60</v>
      </c>
      <c r="F20" s="6" t="s">
        <v>55</v>
      </c>
      <c r="G20" s="6" t="s">
        <v>80</v>
      </c>
      <c r="H20" s="6">
        <v>900000</v>
      </c>
      <c r="I20" s="8">
        <v>45904.125</v>
      </c>
      <c r="J20" s="8">
        <v>45906.125</v>
      </c>
      <c r="K20" s="6" t="s">
        <v>21</v>
      </c>
      <c r="L20" s="6" t="s">
        <v>246</v>
      </c>
      <c r="M20" s="6" t="s">
        <v>44</v>
      </c>
      <c r="N20" s="6" t="s">
        <v>209</v>
      </c>
      <c r="O20" s="6">
        <v>37</v>
      </c>
      <c r="P20" s="6" t="s">
        <v>210</v>
      </c>
      <c r="Q20" s="6">
        <v>8691714489</v>
      </c>
      <c r="R20" s="6">
        <f t="shared" si="0"/>
        <v>901000</v>
      </c>
      <c r="S20" s="6">
        <f t="shared" si="1"/>
        <v>48</v>
      </c>
    </row>
    <row r="21" spans="1:19" x14ac:dyDescent="0.35">
      <c r="A21" s="6" t="s">
        <v>226</v>
      </c>
      <c r="B21" s="7">
        <v>45905</v>
      </c>
      <c r="C21" s="6" t="s">
        <v>172</v>
      </c>
      <c r="D21" s="6">
        <v>0</v>
      </c>
      <c r="E21" s="6" t="s">
        <v>61</v>
      </c>
      <c r="F21" s="6" t="s">
        <v>55</v>
      </c>
      <c r="G21" s="6" t="s">
        <v>78</v>
      </c>
      <c r="H21" s="6">
        <v>350000</v>
      </c>
      <c r="I21" s="8">
        <v>45905.041666666664</v>
      </c>
      <c r="J21" s="8">
        <v>45911.041666666664</v>
      </c>
      <c r="K21" s="6" t="s">
        <v>23</v>
      </c>
      <c r="L21" s="6" t="s">
        <v>256</v>
      </c>
      <c r="M21" s="6" t="s">
        <v>44</v>
      </c>
      <c r="N21" s="6" t="s">
        <v>209</v>
      </c>
      <c r="O21" s="6">
        <v>37</v>
      </c>
      <c r="P21" s="6" t="s">
        <v>210</v>
      </c>
      <c r="Q21" s="6">
        <v>8691714489</v>
      </c>
      <c r="R21" s="6">
        <f t="shared" si="0"/>
        <v>350000</v>
      </c>
      <c r="S21" s="6">
        <f t="shared" si="1"/>
        <v>144</v>
      </c>
    </row>
    <row r="22" spans="1:19" x14ac:dyDescent="0.35">
      <c r="A22" s="6" t="s">
        <v>227</v>
      </c>
      <c r="B22" s="7">
        <v>45906</v>
      </c>
      <c r="C22" s="6" t="s">
        <v>88</v>
      </c>
      <c r="D22" s="6">
        <v>1500</v>
      </c>
      <c r="E22" s="6" t="s">
        <v>63</v>
      </c>
      <c r="F22" s="6" t="s">
        <v>62</v>
      </c>
      <c r="G22" s="6" t="s">
        <v>78</v>
      </c>
      <c r="H22" s="6">
        <v>350000</v>
      </c>
      <c r="I22" s="8">
        <v>45906.083333333336</v>
      </c>
      <c r="J22" s="8">
        <v>45907.083333333336</v>
      </c>
      <c r="K22" s="6" t="s">
        <v>17</v>
      </c>
      <c r="L22" s="6" t="s">
        <v>247</v>
      </c>
      <c r="M22" s="6" t="s">
        <v>36</v>
      </c>
      <c r="N22" s="6" t="s">
        <v>201</v>
      </c>
      <c r="O22" s="6">
        <v>51</v>
      </c>
      <c r="P22" s="6" t="s">
        <v>202</v>
      </c>
      <c r="Q22" s="6">
        <v>8469199586</v>
      </c>
      <c r="R22" s="6">
        <f t="shared" si="0"/>
        <v>351500</v>
      </c>
      <c r="S22" s="6">
        <f t="shared" si="1"/>
        <v>24</v>
      </c>
    </row>
    <row r="23" spans="1:19" x14ac:dyDescent="0.35">
      <c r="A23" s="6" t="s">
        <v>228</v>
      </c>
      <c r="B23" s="7">
        <v>45907</v>
      </c>
      <c r="C23" s="6" t="s">
        <v>92</v>
      </c>
      <c r="D23" s="6">
        <v>500</v>
      </c>
      <c r="E23" s="6" t="s">
        <v>69</v>
      </c>
      <c r="F23" s="6" t="s">
        <v>55</v>
      </c>
      <c r="G23" s="6" t="s">
        <v>173</v>
      </c>
      <c r="H23" s="6">
        <v>2400000</v>
      </c>
      <c r="I23" s="8">
        <v>45907</v>
      </c>
      <c r="J23" s="8">
        <v>45908</v>
      </c>
      <c r="K23" s="6" t="s">
        <v>9</v>
      </c>
      <c r="L23" s="6" t="s">
        <v>254</v>
      </c>
      <c r="M23" s="6" t="s">
        <v>42</v>
      </c>
      <c r="N23" s="6" t="s">
        <v>207</v>
      </c>
      <c r="O23" s="6">
        <v>31</v>
      </c>
      <c r="P23" s="6" t="s">
        <v>208</v>
      </c>
      <c r="Q23" s="6">
        <v>8543524722</v>
      </c>
      <c r="R23" s="6">
        <f t="shared" si="0"/>
        <v>2400500</v>
      </c>
      <c r="S23" s="6">
        <f t="shared" si="1"/>
        <v>24</v>
      </c>
    </row>
    <row r="24" spans="1:19" x14ac:dyDescent="0.35">
      <c r="A24" s="6" t="s">
        <v>229</v>
      </c>
      <c r="B24" s="7">
        <v>45908</v>
      </c>
      <c r="C24" s="6" t="s">
        <v>88</v>
      </c>
      <c r="D24" s="6">
        <v>1500</v>
      </c>
      <c r="E24" s="6" t="s">
        <v>72</v>
      </c>
      <c r="F24" s="6" t="s">
        <v>62</v>
      </c>
      <c r="G24" s="6" t="s">
        <v>80</v>
      </c>
      <c r="H24" s="6">
        <v>900000</v>
      </c>
      <c r="I24" s="8">
        <v>45908</v>
      </c>
      <c r="J24" s="8">
        <v>45909</v>
      </c>
      <c r="K24" s="6" t="s">
        <v>23</v>
      </c>
      <c r="L24" s="6" t="s">
        <v>257</v>
      </c>
      <c r="M24" s="6" t="s">
        <v>32</v>
      </c>
      <c r="N24" s="6" t="s">
        <v>197</v>
      </c>
      <c r="O24" s="6">
        <v>32</v>
      </c>
      <c r="P24" s="6" t="s">
        <v>198</v>
      </c>
      <c r="Q24" s="6">
        <v>8891871026</v>
      </c>
      <c r="R24" s="6">
        <f t="shared" si="0"/>
        <v>901500</v>
      </c>
      <c r="S24" s="6">
        <f t="shared" si="1"/>
        <v>24</v>
      </c>
    </row>
    <row r="25" spans="1:19" x14ac:dyDescent="0.35">
      <c r="A25" s="6" t="s">
        <v>230</v>
      </c>
      <c r="B25" s="7">
        <v>45909</v>
      </c>
      <c r="C25" s="6" t="s">
        <v>172</v>
      </c>
      <c r="D25" s="6">
        <v>0</v>
      </c>
      <c r="E25" s="6" t="s">
        <v>73</v>
      </c>
      <c r="F25" s="6" t="s">
        <v>55</v>
      </c>
      <c r="G25" s="6" t="s">
        <v>81</v>
      </c>
      <c r="H25" s="6">
        <v>1200000</v>
      </c>
      <c r="I25" s="8">
        <v>45909.125</v>
      </c>
      <c r="J25" s="8">
        <v>45912.125</v>
      </c>
      <c r="K25" s="6" t="s">
        <v>5</v>
      </c>
      <c r="L25" s="6" t="s">
        <v>249</v>
      </c>
      <c r="M25" s="6" t="s">
        <v>44</v>
      </c>
      <c r="N25" s="6" t="s">
        <v>209</v>
      </c>
      <c r="O25" s="6">
        <v>37</v>
      </c>
      <c r="P25" s="6" t="s">
        <v>210</v>
      </c>
      <c r="Q25" s="6">
        <v>8691714489</v>
      </c>
      <c r="R25" s="6">
        <f t="shared" si="0"/>
        <v>1200000</v>
      </c>
      <c r="S25" s="6">
        <f t="shared" si="1"/>
        <v>72</v>
      </c>
    </row>
    <row r="26" spans="1:19" x14ac:dyDescent="0.35">
      <c r="A26" s="6" t="s">
        <v>231</v>
      </c>
      <c r="B26" s="7">
        <v>45910</v>
      </c>
      <c r="C26" s="6" t="s">
        <v>88</v>
      </c>
      <c r="D26" s="6">
        <v>1500</v>
      </c>
      <c r="E26" s="6" t="s">
        <v>74</v>
      </c>
      <c r="F26" s="6" t="s">
        <v>62</v>
      </c>
      <c r="G26" s="6" t="s">
        <v>78</v>
      </c>
      <c r="H26" s="6">
        <v>350000</v>
      </c>
      <c r="I26" s="8">
        <v>45910</v>
      </c>
      <c r="J26" s="8">
        <v>45915</v>
      </c>
      <c r="K26" s="13" t="s">
        <v>11</v>
      </c>
      <c r="L26" s="13" t="s">
        <v>255</v>
      </c>
      <c r="M26" s="6" t="s">
        <v>38</v>
      </c>
      <c r="N26" s="6" t="s">
        <v>203</v>
      </c>
      <c r="O26" s="6">
        <v>58</v>
      </c>
      <c r="P26" s="6" t="s">
        <v>204</v>
      </c>
      <c r="Q26" s="6">
        <v>8321900348</v>
      </c>
      <c r="R26" s="6">
        <f t="shared" si="0"/>
        <v>351500</v>
      </c>
      <c r="S26" s="6">
        <f t="shared" si="1"/>
        <v>120</v>
      </c>
    </row>
    <row r="27" spans="1:19" x14ac:dyDescent="0.35">
      <c r="A27" s="6" t="s">
        <v>232</v>
      </c>
      <c r="B27" s="7">
        <v>45911</v>
      </c>
      <c r="C27" s="6" t="s">
        <v>86</v>
      </c>
      <c r="D27" s="6">
        <v>0</v>
      </c>
      <c r="E27" s="6" t="s">
        <v>75</v>
      </c>
      <c r="F27" s="6" t="s">
        <v>62</v>
      </c>
      <c r="G27" s="6" t="s">
        <v>173</v>
      </c>
      <c r="H27" s="6">
        <v>2400000</v>
      </c>
      <c r="I27" s="8">
        <v>45911</v>
      </c>
      <c r="J27" s="8">
        <v>45915</v>
      </c>
      <c r="K27" s="13"/>
      <c r="L27" s="13"/>
      <c r="M27" s="6" t="s">
        <v>32</v>
      </c>
      <c r="N27" s="6" t="s">
        <v>197</v>
      </c>
      <c r="O27" s="6">
        <v>32</v>
      </c>
      <c r="P27" s="6" t="s">
        <v>198</v>
      </c>
      <c r="Q27" s="6">
        <v>8891871026</v>
      </c>
      <c r="R27" s="6">
        <f t="shared" si="0"/>
        <v>2400000</v>
      </c>
      <c r="S27" s="6">
        <f t="shared" si="1"/>
        <v>96</v>
      </c>
    </row>
  </sheetData>
  <mergeCells count="8">
    <mergeCell ref="L3:L4"/>
    <mergeCell ref="K3:K4"/>
    <mergeCell ref="L11:L12"/>
    <mergeCell ref="L18:L19"/>
    <mergeCell ref="L26:L27"/>
    <mergeCell ref="K26:K27"/>
    <mergeCell ref="K18:K19"/>
    <mergeCell ref="K11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072E-007A-4054-8F11-11F3E7931745}">
  <dimension ref="A1:T27"/>
  <sheetViews>
    <sheetView zoomScaleNormal="100" workbookViewId="0">
      <selection activeCell="C1" sqref="C1"/>
    </sheetView>
  </sheetViews>
  <sheetFormatPr defaultRowHeight="14.5" x14ac:dyDescent="0.35"/>
  <cols>
    <col min="1" max="1" width="12.54296875" bestFit="1" customWidth="1"/>
    <col min="2" max="2" width="14.81640625" bestFit="1" customWidth="1"/>
    <col min="3" max="3" width="17.81640625" bestFit="1" customWidth="1"/>
    <col min="4" max="4" width="11.453125" bestFit="1" customWidth="1"/>
    <col min="5" max="5" width="7.7265625" bestFit="1" customWidth="1"/>
    <col min="6" max="6" width="15.453125" bestFit="1" customWidth="1"/>
    <col min="7" max="7" width="15.1796875" bestFit="1" customWidth="1"/>
    <col min="8" max="8" width="10.1796875" bestFit="1" customWidth="1"/>
    <col min="9" max="9" width="15.81640625" bestFit="1" customWidth="1"/>
    <col min="10" max="10" width="17.453125" bestFit="1" customWidth="1"/>
    <col min="11" max="11" width="10.81640625" bestFit="1" customWidth="1"/>
    <col min="12" max="12" width="14.26953125" bestFit="1" customWidth="1"/>
    <col min="13" max="13" width="12.26953125" bestFit="1" customWidth="1"/>
    <col min="14" max="14" width="23.54296875" bestFit="1" customWidth="1"/>
    <col min="15" max="15" width="12.7265625" bestFit="1" customWidth="1"/>
    <col min="16" max="16" width="6.7265625" bestFit="1" customWidth="1"/>
    <col min="17" max="17" width="14.81640625" bestFit="1" customWidth="1"/>
    <col min="18" max="18" width="8.26953125" bestFit="1" customWidth="1"/>
    <col min="19" max="19" width="25.26953125" bestFit="1" customWidth="1"/>
    <col min="20" max="20" width="14.6328125" customWidth="1"/>
  </cols>
  <sheetData>
    <row r="1" spans="1:20" ht="15" customHeight="1" thickBot="1" x14ac:dyDescent="0.4">
      <c r="A1" s="9" t="s">
        <v>93</v>
      </c>
      <c r="B1" s="9" t="s">
        <v>94</v>
      </c>
      <c r="C1" s="9" t="s">
        <v>83</v>
      </c>
      <c r="D1" s="9" t="s">
        <v>84</v>
      </c>
      <c r="E1" s="9" t="s">
        <v>46</v>
      </c>
      <c r="F1" s="9" t="s">
        <v>48</v>
      </c>
      <c r="G1" s="9" t="s">
        <v>76</v>
      </c>
      <c r="H1" s="9" t="s">
        <v>77</v>
      </c>
      <c r="I1" s="9" t="s">
        <v>95</v>
      </c>
      <c r="J1" s="9" t="s">
        <v>96</v>
      </c>
      <c r="K1" s="9" t="s">
        <v>0</v>
      </c>
      <c r="L1" s="9" t="s">
        <v>1</v>
      </c>
      <c r="M1" s="9" t="s">
        <v>2</v>
      </c>
      <c r="N1" s="9" t="s">
        <v>3</v>
      </c>
      <c r="O1" s="9" t="s">
        <v>4</v>
      </c>
      <c r="P1" s="9" t="s">
        <v>25</v>
      </c>
      <c r="Q1" s="10" t="s">
        <v>26</v>
      </c>
      <c r="R1" s="11" t="s">
        <v>27</v>
      </c>
      <c r="S1" s="11" t="s">
        <v>28</v>
      </c>
      <c r="T1" s="11" t="s">
        <v>29</v>
      </c>
    </row>
    <row r="2" spans="1:20" ht="15" customHeight="1" thickBot="1" x14ac:dyDescent="0.4">
      <c r="A2" t="s">
        <v>97</v>
      </c>
      <c r="B2" t="s">
        <v>98</v>
      </c>
      <c r="C2" s="3" t="s">
        <v>172</v>
      </c>
      <c r="D2" s="3">
        <v>0</v>
      </c>
      <c r="E2" t="s">
        <v>49</v>
      </c>
      <c r="F2" t="s">
        <v>51</v>
      </c>
      <c r="G2" s="3" t="s">
        <v>80</v>
      </c>
      <c r="H2" s="3">
        <v>900000</v>
      </c>
      <c r="I2" t="s">
        <v>99</v>
      </c>
      <c r="J2" t="s">
        <v>100</v>
      </c>
      <c r="K2" t="s">
        <v>7</v>
      </c>
      <c r="L2" s="3" t="s">
        <v>177</v>
      </c>
      <c r="M2">
        <v>22</v>
      </c>
      <c r="N2" s="3" t="s">
        <v>178</v>
      </c>
      <c r="O2" t="s">
        <v>8</v>
      </c>
      <c r="P2" t="s">
        <v>32</v>
      </c>
      <c r="Q2" s="2" t="s">
        <v>197</v>
      </c>
      <c r="R2">
        <v>32</v>
      </c>
      <c r="S2" s="2" t="s">
        <v>198</v>
      </c>
      <c r="T2" t="s">
        <v>33</v>
      </c>
    </row>
    <row r="3" spans="1:20" ht="15" customHeight="1" thickBot="1" x14ac:dyDescent="0.4">
      <c r="A3" t="s">
        <v>101</v>
      </c>
      <c r="B3" t="s">
        <v>102</v>
      </c>
      <c r="C3" s="2" t="s">
        <v>86</v>
      </c>
      <c r="D3" s="2">
        <v>0</v>
      </c>
      <c r="E3" t="s">
        <v>67</v>
      </c>
      <c r="F3" t="s">
        <v>55</v>
      </c>
      <c r="G3" s="2" t="s">
        <v>79</v>
      </c>
      <c r="H3" s="2">
        <v>500000</v>
      </c>
      <c r="I3" t="s">
        <v>103</v>
      </c>
      <c r="J3" t="s">
        <v>104</v>
      </c>
      <c r="K3" t="s">
        <v>23</v>
      </c>
      <c r="L3" s="2" t="s">
        <v>193</v>
      </c>
      <c r="M3">
        <v>27</v>
      </c>
      <c r="N3" s="2" t="s">
        <v>194</v>
      </c>
      <c r="O3" t="s">
        <v>24</v>
      </c>
      <c r="P3" t="s">
        <v>30</v>
      </c>
      <c r="Q3" s="2" t="s">
        <v>195</v>
      </c>
      <c r="R3">
        <v>51</v>
      </c>
      <c r="S3" s="2" t="s">
        <v>196</v>
      </c>
      <c r="T3" t="s">
        <v>31</v>
      </c>
    </row>
    <row r="4" spans="1:20" ht="15" customHeight="1" thickBot="1" x14ac:dyDescent="0.4">
      <c r="A4" t="s">
        <v>105</v>
      </c>
      <c r="B4" t="s">
        <v>106</v>
      </c>
      <c r="C4" s="2" t="s">
        <v>88</v>
      </c>
      <c r="D4" s="2">
        <v>1500</v>
      </c>
      <c r="E4" t="s">
        <v>65</v>
      </c>
      <c r="F4" t="s">
        <v>62</v>
      </c>
      <c r="G4" s="2" t="s">
        <v>79</v>
      </c>
      <c r="H4" s="2">
        <v>500000</v>
      </c>
      <c r="I4" t="s">
        <v>107</v>
      </c>
      <c r="J4" t="s">
        <v>108</v>
      </c>
      <c r="K4" t="s">
        <v>23</v>
      </c>
      <c r="L4" s="2" t="s">
        <v>193</v>
      </c>
      <c r="M4">
        <v>27</v>
      </c>
      <c r="N4" s="2" t="s">
        <v>194</v>
      </c>
      <c r="O4" t="s">
        <v>24</v>
      </c>
      <c r="P4" t="s">
        <v>32</v>
      </c>
      <c r="Q4" s="2" t="s">
        <v>197</v>
      </c>
      <c r="R4">
        <v>32</v>
      </c>
      <c r="S4" s="2" t="s">
        <v>198</v>
      </c>
      <c r="T4" t="s">
        <v>33</v>
      </c>
    </row>
    <row r="5" spans="1:20" ht="15" customHeight="1" thickBot="1" x14ac:dyDescent="0.4">
      <c r="A5" t="s">
        <v>109</v>
      </c>
      <c r="B5" t="s">
        <v>110</v>
      </c>
      <c r="C5" s="2" t="s">
        <v>90</v>
      </c>
      <c r="D5" s="2">
        <v>1000</v>
      </c>
      <c r="E5" t="s">
        <v>71</v>
      </c>
      <c r="F5" t="s">
        <v>62</v>
      </c>
      <c r="G5" s="2" t="s">
        <v>80</v>
      </c>
      <c r="H5" s="2">
        <v>900000</v>
      </c>
      <c r="I5" t="s">
        <v>111</v>
      </c>
      <c r="J5" t="s">
        <v>112</v>
      </c>
      <c r="K5" t="s">
        <v>21</v>
      </c>
      <c r="L5" s="2" t="s">
        <v>191</v>
      </c>
      <c r="M5">
        <v>45</v>
      </c>
      <c r="N5" s="2" t="s">
        <v>192</v>
      </c>
      <c r="O5" t="s">
        <v>22</v>
      </c>
      <c r="P5" t="s">
        <v>44</v>
      </c>
      <c r="Q5" s="2" t="s">
        <v>209</v>
      </c>
      <c r="R5">
        <v>37</v>
      </c>
      <c r="S5" s="2" t="s">
        <v>210</v>
      </c>
      <c r="T5" t="s">
        <v>45</v>
      </c>
    </row>
    <row r="6" spans="1:20" ht="15" customHeight="1" thickBot="1" x14ac:dyDescent="0.4">
      <c r="A6" t="s">
        <v>113</v>
      </c>
      <c r="B6" t="s">
        <v>114</v>
      </c>
      <c r="C6" s="2" t="s">
        <v>172</v>
      </c>
      <c r="D6" s="2">
        <v>0</v>
      </c>
      <c r="E6" t="s">
        <v>68</v>
      </c>
      <c r="F6" t="s">
        <v>62</v>
      </c>
      <c r="G6" s="2" t="s">
        <v>80</v>
      </c>
      <c r="H6" s="2">
        <v>900000</v>
      </c>
      <c r="I6" t="s">
        <v>115</v>
      </c>
      <c r="J6" t="s">
        <v>116</v>
      </c>
      <c r="K6" t="s">
        <v>23</v>
      </c>
      <c r="L6" s="2" t="s">
        <v>193</v>
      </c>
      <c r="M6">
        <v>27</v>
      </c>
      <c r="N6" s="2" t="s">
        <v>194</v>
      </c>
      <c r="O6" t="s">
        <v>24</v>
      </c>
      <c r="P6" t="s">
        <v>44</v>
      </c>
      <c r="Q6" s="2" t="s">
        <v>209</v>
      </c>
      <c r="R6">
        <v>37</v>
      </c>
      <c r="S6" s="2" t="s">
        <v>210</v>
      </c>
      <c r="T6" t="s">
        <v>45</v>
      </c>
    </row>
    <row r="7" spans="1:20" ht="15" customHeight="1" thickBot="1" x14ac:dyDescent="0.4">
      <c r="A7" t="s">
        <v>117</v>
      </c>
      <c r="B7" t="s">
        <v>118</v>
      </c>
      <c r="C7" s="2" t="s">
        <v>88</v>
      </c>
      <c r="D7" s="2">
        <v>1500</v>
      </c>
      <c r="E7" t="s">
        <v>49</v>
      </c>
      <c r="F7" t="s">
        <v>51</v>
      </c>
      <c r="G7" s="3" t="s">
        <v>80</v>
      </c>
      <c r="H7" s="3">
        <v>900000</v>
      </c>
      <c r="I7" t="s">
        <v>119</v>
      </c>
      <c r="J7" t="s">
        <v>120</v>
      </c>
      <c r="K7" t="s">
        <v>17</v>
      </c>
      <c r="L7" s="2" t="s">
        <v>187</v>
      </c>
      <c r="M7">
        <v>54</v>
      </c>
      <c r="N7" s="2" t="s">
        <v>188</v>
      </c>
      <c r="O7" t="s">
        <v>18</v>
      </c>
      <c r="P7" t="s">
        <v>36</v>
      </c>
      <c r="Q7" s="2" t="s">
        <v>201</v>
      </c>
      <c r="R7">
        <v>51</v>
      </c>
      <c r="S7" s="2" t="s">
        <v>202</v>
      </c>
      <c r="T7" t="s">
        <v>37</v>
      </c>
    </row>
    <row r="8" spans="1:20" ht="15" customHeight="1" thickBot="1" x14ac:dyDescent="0.4">
      <c r="A8" t="s">
        <v>121</v>
      </c>
      <c r="B8" t="s">
        <v>122</v>
      </c>
      <c r="C8" s="2" t="s">
        <v>92</v>
      </c>
      <c r="D8" s="2">
        <v>500</v>
      </c>
      <c r="E8" t="s">
        <v>71</v>
      </c>
      <c r="F8" t="s">
        <v>62</v>
      </c>
      <c r="G8" s="2" t="s">
        <v>80</v>
      </c>
      <c r="H8" s="2">
        <v>900000</v>
      </c>
      <c r="I8" t="s">
        <v>123</v>
      </c>
      <c r="J8" t="s">
        <v>124</v>
      </c>
      <c r="K8" t="s">
        <v>9</v>
      </c>
      <c r="L8" s="2" t="s">
        <v>179</v>
      </c>
      <c r="M8">
        <v>35</v>
      </c>
      <c r="N8" s="2" t="s">
        <v>180</v>
      </c>
      <c r="O8" t="s">
        <v>10</v>
      </c>
      <c r="P8" t="s">
        <v>42</v>
      </c>
      <c r="Q8" s="2" t="s">
        <v>207</v>
      </c>
      <c r="R8">
        <v>31</v>
      </c>
      <c r="S8" s="2" t="s">
        <v>208</v>
      </c>
      <c r="T8" t="s">
        <v>43</v>
      </c>
    </row>
    <row r="9" spans="1:20" ht="15" customHeight="1" thickBot="1" x14ac:dyDescent="0.4">
      <c r="A9" t="s">
        <v>125</v>
      </c>
      <c r="B9" t="s">
        <v>126</v>
      </c>
      <c r="C9" s="2" t="s">
        <v>88</v>
      </c>
      <c r="D9" s="2">
        <v>1500</v>
      </c>
      <c r="E9" t="s">
        <v>71</v>
      </c>
      <c r="F9" t="s">
        <v>62</v>
      </c>
      <c r="G9" s="2" t="s">
        <v>80</v>
      </c>
      <c r="H9" s="2">
        <v>900000</v>
      </c>
      <c r="I9" t="s">
        <v>124</v>
      </c>
      <c r="J9" t="s">
        <v>127</v>
      </c>
      <c r="K9" t="s">
        <v>23</v>
      </c>
      <c r="L9" s="2" t="s">
        <v>193</v>
      </c>
      <c r="M9">
        <v>27</v>
      </c>
      <c r="N9" s="2" t="s">
        <v>194</v>
      </c>
      <c r="O9" t="s">
        <v>24</v>
      </c>
      <c r="P9" t="s">
        <v>32</v>
      </c>
      <c r="Q9" s="2" t="s">
        <v>197</v>
      </c>
      <c r="R9">
        <v>32</v>
      </c>
      <c r="S9" s="2" t="s">
        <v>198</v>
      </c>
      <c r="T9" t="s">
        <v>33</v>
      </c>
    </row>
    <row r="10" spans="1:20" ht="15" customHeight="1" thickBot="1" x14ac:dyDescent="0.4">
      <c r="A10" t="s">
        <v>128</v>
      </c>
      <c r="B10" t="s">
        <v>129</v>
      </c>
      <c r="C10" s="2" t="s">
        <v>172</v>
      </c>
      <c r="D10" s="2">
        <v>0</v>
      </c>
      <c r="E10" t="s">
        <v>67</v>
      </c>
      <c r="F10" t="s">
        <v>55</v>
      </c>
      <c r="G10" s="2" t="s">
        <v>79</v>
      </c>
      <c r="H10" s="2">
        <v>500000</v>
      </c>
      <c r="I10" t="s">
        <v>130</v>
      </c>
      <c r="J10" t="s">
        <v>131</v>
      </c>
      <c r="K10" t="s">
        <v>5</v>
      </c>
      <c r="L10" s="2" t="s">
        <v>175</v>
      </c>
      <c r="M10">
        <v>49</v>
      </c>
      <c r="N10" s="2" t="s">
        <v>176</v>
      </c>
      <c r="O10" t="s">
        <v>6</v>
      </c>
      <c r="P10" t="s">
        <v>44</v>
      </c>
      <c r="Q10" s="2" t="s">
        <v>209</v>
      </c>
      <c r="R10">
        <v>37</v>
      </c>
      <c r="S10" s="2" t="s">
        <v>210</v>
      </c>
      <c r="T10" t="s">
        <v>45</v>
      </c>
    </row>
    <row r="11" spans="1:20" ht="15" customHeight="1" thickBot="1" x14ac:dyDescent="0.4">
      <c r="A11" t="s">
        <v>132</v>
      </c>
      <c r="B11" t="s">
        <v>133</v>
      </c>
      <c r="C11" s="2" t="s">
        <v>88</v>
      </c>
      <c r="D11" s="2">
        <v>1500</v>
      </c>
      <c r="E11" t="s">
        <v>66</v>
      </c>
      <c r="F11" t="s">
        <v>51</v>
      </c>
      <c r="G11" s="2" t="s">
        <v>80</v>
      </c>
      <c r="H11" s="2">
        <v>900000</v>
      </c>
      <c r="I11" t="s">
        <v>134</v>
      </c>
      <c r="J11" t="s">
        <v>135</v>
      </c>
      <c r="K11" t="s">
        <v>11</v>
      </c>
      <c r="L11" s="2" t="s">
        <v>181</v>
      </c>
      <c r="M11">
        <v>29</v>
      </c>
      <c r="N11" s="2" t="s">
        <v>182</v>
      </c>
      <c r="O11" t="s">
        <v>12</v>
      </c>
      <c r="P11" t="s">
        <v>38</v>
      </c>
      <c r="Q11" s="2" t="s">
        <v>203</v>
      </c>
      <c r="R11">
        <v>58</v>
      </c>
      <c r="S11" s="2" t="s">
        <v>204</v>
      </c>
      <c r="T11" t="s">
        <v>39</v>
      </c>
    </row>
    <row r="12" spans="1:20" ht="15" customHeight="1" thickBot="1" x14ac:dyDescent="0.4">
      <c r="A12" t="s">
        <v>136</v>
      </c>
      <c r="B12" t="s">
        <v>137</v>
      </c>
      <c r="C12" s="2" t="s">
        <v>86</v>
      </c>
      <c r="D12" s="2">
        <v>0</v>
      </c>
      <c r="E12" t="s">
        <v>58</v>
      </c>
      <c r="F12" t="s">
        <v>51</v>
      </c>
      <c r="G12" s="2" t="s">
        <v>78</v>
      </c>
      <c r="H12" s="2">
        <v>350000</v>
      </c>
      <c r="I12" t="s">
        <v>138</v>
      </c>
      <c r="J12" t="s">
        <v>135</v>
      </c>
      <c r="K12" t="s">
        <v>11</v>
      </c>
      <c r="L12" s="2" t="s">
        <v>181</v>
      </c>
      <c r="M12">
        <v>29</v>
      </c>
      <c r="N12" s="2" t="s">
        <v>182</v>
      </c>
      <c r="O12" t="s">
        <v>12</v>
      </c>
      <c r="P12" t="s">
        <v>32</v>
      </c>
      <c r="Q12" s="2" t="s">
        <v>197</v>
      </c>
      <c r="R12">
        <v>32</v>
      </c>
      <c r="S12" s="2" t="s">
        <v>198</v>
      </c>
      <c r="T12" t="s">
        <v>33</v>
      </c>
    </row>
    <row r="13" spans="1:20" ht="15" customHeight="1" thickBot="1" x14ac:dyDescent="0.4">
      <c r="A13" t="s">
        <v>139</v>
      </c>
      <c r="B13" t="s">
        <v>140</v>
      </c>
      <c r="C13" s="2" t="s">
        <v>92</v>
      </c>
      <c r="D13" s="2">
        <v>500</v>
      </c>
      <c r="E13" t="s">
        <v>66</v>
      </c>
      <c r="F13" t="s">
        <v>51</v>
      </c>
      <c r="G13" s="2" t="s">
        <v>80</v>
      </c>
      <c r="H13" s="2">
        <v>900000</v>
      </c>
      <c r="I13" t="s">
        <v>141</v>
      </c>
      <c r="J13" t="s">
        <v>142</v>
      </c>
      <c r="K13" t="s">
        <v>23</v>
      </c>
      <c r="L13" s="2" t="s">
        <v>183</v>
      </c>
      <c r="M13">
        <v>27</v>
      </c>
      <c r="N13" s="2" t="s">
        <v>184</v>
      </c>
      <c r="O13" t="s">
        <v>14</v>
      </c>
      <c r="P13" t="s">
        <v>38</v>
      </c>
      <c r="Q13" s="2" t="s">
        <v>203</v>
      </c>
      <c r="R13">
        <v>58</v>
      </c>
      <c r="S13" s="2" t="s">
        <v>204</v>
      </c>
      <c r="T13" t="s">
        <v>39</v>
      </c>
    </row>
    <row r="14" spans="1:20" ht="15" customHeight="1" thickBot="1" x14ac:dyDescent="0.4">
      <c r="A14" t="s">
        <v>143</v>
      </c>
      <c r="B14" t="s">
        <v>144</v>
      </c>
      <c r="C14" s="2" t="s">
        <v>86</v>
      </c>
      <c r="D14" s="2">
        <v>0</v>
      </c>
      <c r="E14" t="s">
        <v>68</v>
      </c>
      <c r="F14" t="s">
        <v>62</v>
      </c>
      <c r="G14" s="2" t="s">
        <v>80</v>
      </c>
      <c r="H14" s="2">
        <v>900000</v>
      </c>
      <c r="I14" t="s">
        <v>145</v>
      </c>
      <c r="J14" t="s">
        <v>146</v>
      </c>
      <c r="K14" t="s">
        <v>15</v>
      </c>
      <c r="L14" s="2" t="s">
        <v>185</v>
      </c>
      <c r="M14">
        <v>38</v>
      </c>
      <c r="N14" s="2" t="s">
        <v>186</v>
      </c>
      <c r="O14" t="s">
        <v>16</v>
      </c>
      <c r="P14" t="s">
        <v>40</v>
      </c>
      <c r="Q14" s="2" t="s">
        <v>205</v>
      </c>
      <c r="R14">
        <v>48</v>
      </c>
      <c r="S14" s="2" t="s">
        <v>206</v>
      </c>
      <c r="T14" t="s">
        <v>41</v>
      </c>
    </row>
    <row r="15" spans="1:20" ht="15" customHeight="1" thickBot="1" x14ac:dyDescent="0.4">
      <c r="A15" t="s">
        <v>147</v>
      </c>
      <c r="B15" t="s">
        <v>148</v>
      </c>
      <c r="C15" s="2" t="s">
        <v>90</v>
      </c>
      <c r="D15" s="2">
        <v>1000</v>
      </c>
      <c r="E15" t="s">
        <v>53</v>
      </c>
      <c r="F15" t="s">
        <v>55</v>
      </c>
      <c r="G15" s="2" t="s">
        <v>81</v>
      </c>
      <c r="H15" s="2">
        <v>1200000</v>
      </c>
      <c r="I15" t="s">
        <v>149</v>
      </c>
      <c r="J15" t="s">
        <v>150</v>
      </c>
      <c r="K15" t="s">
        <v>9</v>
      </c>
      <c r="L15" s="2" t="s">
        <v>179</v>
      </c>
      <c r="M15">
        <v>35</v>
      </c>
      <c r="N15" s="2" t="s">
        <v>180</v>
      </c>
      <c r="O15" t="s">
        <v>10</v>
      </c>
      <c r="P15" t="s">
        <v>30</v>
      </c>
      <c r="Q15" s="2" t="s">
        <v>195</v>
      </c>
      <c r="R15">
        <v>51</v>
      </c>
      <c r="S15" s="2" t="s">
        <v>196</v>
      </c>
      <c r="T15" t="s">
        <v>31</v>
      </c>
    </row>
    <row r="16" spans="1:20" ht="15" customHeight="1" thickBot="1" x14ac:dyDescent="0.4">
      <c r="A16" t="s">
        <v>151</v>
      </c>
      <c r="B16" t="s">
        <v>152</v>
      </c>
      <c r="C16" s="2" t="s">
        <v>86</v>
      </c>
      <c r="D16" s="2">
        <v>0</v>
      </c>
      <c r="E16" t="s">
        <v>70</v>
      </c>
      <c r="F16" t="s">
        <v>51</v>
      </c>
      <c r="G16" s="2" t="s">
        <v>80</v>
      </c>
      <c r="H16" s="2">
        <v>900000</v>
      </c>
      <c r="I16" t="s">
        <v>153</v>
      </c>
      <c r="J16" t="s">
        <v>154</v>
      </c>
      <c r="K16" t="s">
        <v>15</v>
      </c>
      <c r="L16" s="2" t="s">
        <v>185</v>
      </c>
      <c r="M16">
        <v>38</v>
      </c>
      <c r="N16" s="2" t="s">
        <v>186</v>
      </c>
      <c r="O16" t="s">
        <v>16</v>
      </c>
      <c r="P16" t="s">
        <v>34</v>
      </c>
      <c r="Q16" s="2" t="s">
        <v>199</v>
      </c>
      <c r="R16">
        <v>54</v>
      </c>
      <c r="S16" s="2" t="s">
        <v>200</v>
      </c>
      <c r="T16" t="s">
        <v>35</v>
      </c>
    </row>
    <row r="17" spans="1:20" ht="15" customHeight="1" thickBot="1" x14ac:dyDescent="0.4">
      <c r="A17" t="s">
        <v>222</v>
      </c>
      <c r="B17" t="s">
        <v>98</v>
      </c>
      <c r="C17" s="3" t="s">
        <v>172</v>
      </c>
      <c r="D17" s="3">
        <v>0</v>
      </c>
      <c r="E17" t="s">
        <v>52</v>
      </c>
      <c r="F17" t="s">
        <v>51</v>
      </c>
      <c r="G17" s="2" t="s">
        <v>80</v>
      </c>
      <c r="H17" s="2">
        <v>900000</v>
      </c>
      <c r="I17" t="s">
        <v>99</v>
      </c>
      <c r="J17" t="s">
        <v>100</v>
      </c>
      <c r="K17" t="s">
        <v>7</v>
      </c>
      <c r="L17" s="3" t="s">
        <v>177</v>
      </c>
      <c r="M17">
        <v>22</v>
      </c>
      <c r="N17" s="3" t="s">
        <v>178</v>
      </c>
      <c r="O17" t="s">
        <v>8</v>
      </c>
      <c r="P17" t="s">
        <v>32</v>
      </c>
      <c r="Q17" s="2" t="s">
        <v>197</v>
      </c>
      <c r="R17">
        <v>32</v>
      </c>
      <c r="S17" s="2" t="s">
        <v>198</v>
      </c>
      <c r="T17" t="s">
        <v>33</v>
      </c>
    </row>
    <row r="18" spans="1:20" ht="15" customHeight="1" thickBot="1" x14ac:dyDescent="0.4">
      <c r="A18" t="s">
        <v>223</v>
      </c>
      <c r="B18" t="s">
        <v>102</v>
      </c>
      <c r="C18" s="2" t="s">
        <v>86</v>
      </c>
      <c r="D18" s="2">
        <v>0</v>
      </c>
      <c r="E18" t="s">
        <v>56</v>
      </c>
      <c r="F18" t="s">
        <v>55</v>
      </c>
      <c r="G18" s="2" t="s">
        <v>81</v>
      </c>
      <c r="H18" s="2">
        <v>1200000</v>
      </c>
      <c r="I18" t="s">
        <v>103</v>
      </c>
      <c r="J18" t="s">
        <v>104</v>
      </c>
      <c r="K18" t="s">
        <v>23</v>
      </c>
      <c r="L18" s="2" t="s">
        <v>193</v>
      </c>
      <c r="M18">
        <v>27</v>
      </c>
      <c r="N18" s="2" t="s">
        <v>194</v>
      </c>
      <c r="O18" t="s">
        <v>24</v>
      </c>
      <c r="P18" t="s">
        <v>30</v>
      </c>
      <c r="Q18" s="2" t="s">
        <v>195</v>
      </c>
      <c r="R18">
        <v>51</v>
      </c>
      <c r="S18" s="2" t="s">
        <v>196</v>
      </c>
      <c r="T18" t="s">
        <v>31</v>
      </c>
    </row>
    <row r="19" spans="1:20" ht="15" customHeight="1" thickBot="1" x14ac:dyDescent="0.4">
      <c r="A19" t="s">
        <v>224</v>
      </c>
      <c r="B19" t="s">
        <v>106</v>
      </c>
      <c r="C19" s="2" t="s">
        <v>88</v>
      </c>
      <c r="D19" s="2">
        <v>1500</v>
      </c>
      <c r="E19" t="s">
        <v>59</v>
      </c>
      <c r="F19" t="s">
        <v>51</v>
      </c>
      <c r="G19" s="2" t="s">
        <v>78</v>
      </c>
      <c r="H19" s="2">
        <v>350000</v>
      </c>
      <c r="I19" t="s">
        <v>107</v>
      </c>
      <c r="J19" t="s">
        <v>108</v>
      </c>
      <c r="K19" t="s">
        <v>23</v>
      </c>
      <c r="L19" s="2" t="s">
        <v>193</v>
      </c>
      <c r="M19">
        <v>27</v>
      </c>
      <c r="N19" s="2" t="s">
        <v>194</v>
      </c>
      <c r="O19" t="s">
        <v>24</v>
      </c>
      <c r="P19" t="s">
        <v>32</v>
      </c>
      <c r="Q19" s="2" t="s">
        <v>197</v>
      </c>
      <c r="R19">
        <v>32</v>
      </c>
      <c r="S19" s="2" t="s">
        <v>198</v>
      </c>
      <c r="T19" t="s">
        <v>33</v>
      </c>
    </row>
    <row r="20" spans="1:20" ht="15" customHeight="1" thickBot="1" x14ac:dyDescent="0.4">
      <c r="A20" t="s">
        <v>225</v>
      </c>
      <c r="B20" t="s">
        <v>110</v>
      </c>
      <c r="C20" s="2" t="s">
        <v>90</v>
      </c>
      <c r="D20" s="2">
        <v>1000</v>
      </c>
      <c r="E20" t="s">
        <v>60</v>
      </c>
      <c r="F20" t="s">
        <v>55</v>
      </c>
      <c r="G20" s="2" t="s">
        <v>80</v>
      </c>
      <c r="H20" s="2">
        <v>900000</v>
      </c>
      <c r="I20" t="s">
        <v>111</v>
      </c>
      <c r="J20" t="s">
        <v>112</v>
      </c>
      <c r="K20" t="s">
        <v>21</v>
      </c>
      <c r="L20" s="2" t="s">
        <v>191</v>
      </c>
      <c r="M20">
        <v>45</v>
      </c>
      <c r="N20" s="2" t="s">
        <v>192</v>
      </c>
      <c r="O20" t="s">
        <v>22</v>
      </c>
      <c r="P20" t="s">
        <v>44</v>
      </c>
      <c r="Q20" s="2" t="s">
        <v>209</v>
      </c>
      <c r="R20">
        <v>37</v>
      </c>
      <c r="S20" s="2" t="s">
        <v>210</v>
      </c>
      <c r="T20" t="s">
        <v>45</v>
      </c>
    </row>
    <row r="21" spans="1:20" ht="15" customHeight="1" thickBot="1" x14ac:dyDescent="0.4">
      <c r="A21" t="s">
        <v>226</v>
      </c>
      <c r="B21" t="s">
        <v>114</v>
      </c>
      <c r="C21" s="2" t="s">
        <v>172</v>
      </c>
      <c r="D21" s="2">
        <v>0</v>
      </c>
      <c r="E21" t="s">
        <v>61</v>
      </c>
      <c r="F21" t="s">
        <v>55</v>
      </c>
      <c r="G21" s="2" t="s">
        <v>78</v>
      </c>
      <c r="H21" s="2">
        <v>350000</v>
      </c>
      <c r="I21" t="s">
        <v>115</v>
      </c>
      <c r="J21" t="s">
        <v>116</v>
      </c>
      <c r="K21" t="s">
        <v>23</v>
      </c>
      <c r="L21" s="2" t="s">
        <v>193</v>
      </c>
      <c r="M21">
        <v>27</v>
      </c>
      <c r="N21" s="2" t="s">
        <v>194</v>
      </c>
      <c r="O21" t="s">
        <v>24</v>
      </c>
      <c r="P21" t="s">
        <v>44</v>
      </c>
      <c r="Q21" s="2" t="s">
        <v>209</v>
      </c>
      <c r="R21">
        <v>37</v>
      </c>
      <c r="S21" s="2" t="s">
        <v>210</v>
      </c>
      <c r="T21" t="s">
        <v>45</v>
      </c>
    </row>
    <row r="22" spans="1:20" ht="15" customHeight="1" thickBot="1" x14ac:dyDescent="0.4">
      <c r="A22" t="s">
        <v>227</v>
      </c>
      <c r="B22" t="s">
        <v>118</v>
      </c>
      <c r="C22" s="2" t="s">
        <v>88</v>
      </c>
      <c r="D22" s="2">
        <v>1500</v>
      </c>
      <c r="E22" t="s">
        <v>63</v>
      </c>
      <c r="F22" t="s">
        <v>62</v>
      </c>
      <c r="G22" s="2" t="s">
        <v>78</v>
      </c>
      <c r="H22" s="2">
        <v>350000</v>
      </c>
      <c r="I22" t="s">
        <v>119</v>
      </c>
      <c r="J22" t="s">
        <v>120</v>
      </c>
      <c r="K22" t="s">
        <v>17</v>
      </c>
      <c r="L22" s="2" t="s">
        <v>187</v>
      </c>
      <c r="M22">
        <v>54</v>
      </c>
      <c r="N22" s="2" t="s">
        <v>188</v>
      </c>
      <c r="O22" t="s">
        <v>18</v>
      </c>
      <c r="P22" t="s">
        <v>36</v>
      </c>
      <c r="Q22" s="2" t="s">
        <v>201</v>
      </c>
      <c r="R22">
        <v>51</v>
      </c>
      <c r="S22" s="2" t="s">
        <v>202</v>
      </c>
      <c r="T22" t="s">
        <v>37</v>
      </c>
    </row>
    <row r="23" spans="1:20" ht="15" customHeight="1" thickBot="1" x14ac:dyDescent="0.4">
      <c r="A23" t="s">
        <v>228</v>
      </c>
      <c r="B23" t="s">
        <v>122</v>
      </c>
      <c r="C23" s="2" t="s">
        <v>92</v>
      </c>
      <c r="D23" s="2">
        <v>500</v>
      </c>
      <c r="E23" t="s">
        <v>69</v>
      </c>
      <c r="F23" t="s">
        <v>55</v>
      </c>
      <c r="G23" s="2" t="s">
        <v>173</v>
      </c>
      <c r="H23" s="2">
        <v>2400000</v>
      </c>
      <c r="I23" t="s">
        <v>123</v>
      </c>
      <c r="J23" t="s">
        <v>124</v>
      </c>
      <c r="K23" t="s">
        <v>9</v>
      </c>
      <c r="L23" s="2" t="s">
        <v>179</v>
      </c>
      <c r="M23">
        <v>35</v>
      </c>
      <c r="N23" s="2" t="s">
        <v>180</v>
      </c>
      <c r="O23" t="s">
        <v>10</v>
      </c>
      <c r="P23" t="s">
        <v>42</v>
      </c>
      <c r="Q23" s="2" t="s">
        <v>207</v>
      </c>
      <c r="R23">
        <v>31</v>
      </c>
      <c r="S23" s="2" t="s">
        <v>208</v>
      </c>
      <c r="T23" t="s">
        <v>43</v>
      </c>
    </row>
    <row r="24" spans="1:20" ht="15" customHeight="1" thickBot="1" x14ac:dyDescent="0.4">
      <c r="A24" t="s">
        <v>229</v>
      </c>
      <c r="B24" t="s">
        <v>126</v>
      </c>
      <c r="C24" s="2" t="s">
        <v>88</v>
      </c>
      <c r="D24" s="2">
        <v>1500</v>
      </c>
      <c r="E24" t="s">
        <v>72</v>
      </c>
      <c r="F24" t="s">
        <v>62</v>
      </c>
      <c r="G24" s="2" t="s">
        <v>80</v>
      </c>
      <c r="H24" s="2">
        <v>900000</v>
      </c>
      <c r="I24" t="s">
        <v>124</v>
      </c>
      <c r="J24" t="s">
        <v>127</v>
      </c>
      <c r="K24" t="s">
        <v>23</v>
      </c>
      <c r="L24" s="2" t="s">
        <v>193</v>
      </c>
      <c r="M24">
        <v>27</v>
      </c>
      <c r="N24" s="2" t="s">
        <v>194</v>
      </c>
      <c r="O24" t="s">
        <v>24</v>
      </c>
      <c r="P24" t="s">
        <v>32</v>
      </c>
      <c r="Q24" s="2" t="s">
        <v>197</v>
      </c>
      <c r="R24">
        <v>32</v>
      </c>
      <c r="S24" s="2" t="s">
        <v>198</v>
      </c>
      <c r="T24" t="s">
        <v>33</v>
      </c>
    </row>
    <row r="25" spans="1:20" ht="15" customHeight="1" thickBot="1" x14ac:dyDescent="0.4">
      <c r="A25" t="s">
        <v>230</v>
      </c>
      <c r="B25" t="s">
        <v>129</v>
      </c>
      <c r="C25" s="2" t="s">
        <v>172</v>
      </c>
      <c r="D25" s="2">
        <v>0</v>
      </c>
      <c r="E25" t="s">
        <v>73</v>
      </c>
      <c r="F25" t="s">
        <v>55</v>
      </c>
      <c r="G25" s="2" t="s">
        <v>81</v>
      </c>
      <c r="H25" s="2">
        <v>1200000</v>
      </c>
      <c r="I25" t="s">
        <v>130</v>
      </c>
      <c r="J25" t="s">
        <v>131</v>
      </c>
      <c r="K25" t="s">
        <v>5</v>
      </c>
      <c r="L25" s="2" t="s">
        <v>175</v>
      </c>
      <c r="M25">
        <v>49</v>
      </c>
      <c r="N25" s="2" t="s">
        <v>176</v>
      </c>
      <c r="O25" t="s">
        <v>6</v>
      </c>
      <c r="P25" t="s">
        <v>44</v>
      </c>
      <c r="Q25" s="2" t="s">
        <v>209</v>
      </c>
      <c r="R25">
        <v>37</v>
      </c>
      <c r="S25" s="2" t="s">
        <v>210</v>
      </c>
      <c r="T25" t="s">
        <v>45</v>
      </c>
    </row>
    <row r="26" spans="1:20" ht="15" customHeight="1" thickBot="1" x14ac:dyDescent="0.4">
      <c r="A26" t="s">
        <v>231</v>
      </c>
      <c r="B26" t="s">
        <v>133</v>
      </c>
      <c r="C26" s="2" t="s">
        <v>88</v>
      </c>
      <c r="D26" s="2">
        <v>1500</v>
      </c>
      <c r="E26" t="s">
        <v>74</v>
      </c>
      <c r="F26" t="s">
        <v>62</v>
      </c>
      <c r="G26" s="2" t="s">
        <v>78</v>
      </c>
      <c r="H26" s="2">
        <v>350000</v>
      </c>
      <c r="I26" t="s">
        <v>134</v>
      </c>
      <c r="J26" t="s">
        <v>135</v>
      </c>
      <c r="K26" t="s">
        <v>11</v>
      </c>
      <c r="L26" s="2" t="s">
        <v>181</v>
      </c>
      <c r="M26">
        <v>29</v>
      </c>
      <c r="N26" s="2" t="s">
        <v>182</v>
      </c>
      <c r="O26" t="s">
        <v>12</v>
      </c>
      <c r="P26" t="s">
        <v>38</v>
      </c>
      <c r="Q26" s="2" t="s">
        <v>203</v>
      </c>
      <c r="R26">
        <v>58</v>
      </c>
      <c r="S26" s="2" t="s">
        <v>204</v>
      </c>
      <c r="T26" t="s">
        <v>39</v>
      </c>
    </row>
    <row r="27" spans="1:20" ht="15" customHeight="1" thickBot="1" x14ac:dyDescent="0.4">
      <c r="A27" t="s">
        <v>232</v>
      </c>
      <c r="B27" t="s">
        <v>137</v>
      </c>
      <c r="C27" s="2" t="s">
        <v>86</v>
      </c>
      <c r="D27" s="2">
        <v>0</v>
      </c>
      <c r="E27" t="s">
        <v>75</v>
      </c>
      <c r="F27" t="s">
        <v>62</v>
      </c>
      <c r="G27" s="2" t="s">
        <v>173</v>
      </c>
      <c r="H27" s="2">
        <v>2400000</v>
      </c>
      <c r="I27" t="s">
        <v>138</v>
      </c>
      <c r="J27" t="s">
        <v>135</v>
      </c>
      <c r="K27" t="s">
        <v>11</v>
      </c>
      <c r="L27" s="2" t="s">
        <v>181</v>
      </c>
      <c r="M27">
        <v>29</v>
      </c>
      <c r="N27" s="2" t="s">
        <v>182</v>
      </c>
      <c r="O27" t="s">
        <v>12</v>
      </c>
      <c r="P27" t="s">
        <v>32</v>
      </c>
      <c r="Q27" s="2" t="s">
        <v>197</v>
      </c>
      <c r="R27">
        <v>32</v>
      </c>
      <c r="S27" s="2" t="s">
        <v>198</v>
      </c>
      <c r="T27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2A33-0FB0-4921-AA69-56300C05CEC2}">
  <dimension ref="B2:X30"/>
  <sheetViews>
    <sheetView topLeftCell="C1" zoomScale="76" workbookViewId="0">
      <selection activeCell="M34" sqref="M34"/>
    </sheetView>
  </sheetViews>
  <sheetFormatPr defaultRowHeight="15" customHeight="1" x14ac:dyDescent="0.35"/>
  <cols>
    <col min="2" max="2" width="16.54296875" bestFit="1" customWidth="1"/>
    <col min="3" max="3" width="12.54296875" bestFit="1" customWidth="1"/>
    <col min="4" max="4" width="7.7265625" bestFit="1" customWidth="1"/>
    <col min="5" max="5" width="6.7265625" bestFit="1" customWidth="1"/>
    <col min="6" max="6" width="10.81640625" bestFit="1" customWidth="1"/>
    <col min="8" max="8" width="12.54296875" bestFit="1" customWidth="1"/>
    <col min="9" max="9" width="14.7265625" bestFit="1" customWidth="1"/>
    <col min="10" max="10" width="15.81640625" bestFit="1" customWidth="1"/>
    <col min="11" max="11" width="17.453125" bestFit="1" customWidth="1"/>
    <col min="12" max="12" width="17.81640625" bestFit="1" customWidth="1"/>
    <col min="13" max="13" width="11.453125" bestFit="1" customWidth="1"/>
    <col min="15" max="15" width="8.7265625" customWidth="1"/>
    <col min="16" max="16" width="15.26953125" bestFit="1" customWidth="1"/>
    <col min="17" max="17" width="15" bestFit="1" customWidth="1"/>
    <col min="18" max="18" width="10.1796875" bestFit="1" customWidth="1"/>
    <col min="20" max="20" width="10.81640625" bestFit="1" customWidth="1"/>
    <col min="21" max="21" width="20.26953125" customWidth="1"/>
    <col min="22" max="22" width="12.26953125" bestFit="1" customWidth="1"/>
    <col min="23" max="23" width="25.1796875" bestFit="1" customWidth="1"/>
    <col min="24" max="24" width="12.7265625" bestFit="1" customWidth="1"/>
  </cols>
  <sheetData>
    <row r="2" spans="2:24" ht="15" customHeight="1" x14ac:dyDescent="0.35">
      <c r="B2" t="s">
        <v>233</v>
      </c>
      <c r="H2" s="14" t="s">
        <v>238</v>
      </c>
      <c r="I2" s="14"/>
      <c r="O2" t="s">
        <v>241</v>
      </c>
      <c r="T2" t="s">
        <v>242</v>
      </c>
    </row>
    <row r="4" spans="2:24" ht="15" customHeight="1" thickBot="1" x14ac:dyDescent="0.4">
      <c r="B4" s="9" t="s">
        <v>155</v>
      </c>
      <c r="C4" s="9" t="s">
        <v>93</v>
      </c>
      <c r="D4" s="9" t="s">
        <v>46</v>
      </c>
      <c r="E4" s="9" t="s">
        <v>25</v>
      </c>
      <c r="F4" s="9" t="s">
        <v>0</v>
      </c>
      <c r="H4" s="9" t="s">
        <v>93</v>
      </c>
      <c r="I4" s="9" t="s">
        <v>94</v>
      </c>
      <c r="J4" s="9" t="s">
        <v>95</v>
      </c>
      <c r="K4" s="9" t="s">
        <v>96</v>
      </c>
      <c r="L4" s="9" t="s">
        <v>83</v>
      </c>
      <c r="M4" s="9" t="s">
        <v>84</v>
      </c>
      <c r="O4" s="9" t="s">
        <v>46</v>
      </c>
      <c r="P4" s="9" t="s">
        <v>48</v>
      </c>
      <c r="Q4" s="9" t="s">
        <v>76</v>
      </c>
      <c r="R4" s="9" t="s">
        <v>77</v>
      </c>
      <c r="T4" s="9" t="s">
        <v>25</v>
      </c>
      <c r="U4" s="9" t="s">
        <v>26</v>
      </c>
      <c r="V4" s="9" t="s">
        <v>27</v>
      </c>
      <c r="W4" s="9" t="s">
        <v>28</v>
      </c>
      <c r="X4" s="9" t="s">
        <v>29</v>
      </c>
    </row>
    <row r="5" spans="2:24" ht="15" customHeight="1" thickBot="1" x14ac:dyDescent="0.4">
      <c r="B5" t="s">
        <v>156</v>
      </c>
      <c r="C5" t="s">
        <v>97</v>
      </c>
      <c r="D5" t="s">
        <v>49</v>
      </c>
      <c r="E5" t="s">
        <v>32</v>
      </c>
      <c r="F5" t="s">
        <v>7</v>
      </c>
      <c r="H5" t="s">
        <v>97</v>
      </c>
      <c r="I5" t="s">
        <v>98</v>
      </c>
      <c r="J5" t="s">
        <v>99</v>
      </c>
      <c r="K5" t="s">
        <v>100</v>
      </c>
      <c r="L5" s="3" t="s">
        <v>172</v>
      </c>
      <c r="M5" s="3">
        <v>0</v>
      </c>
      <c r="O5" t="s">
        <v>49</v>
      </c>
      <c r="P5" t="s">
        <v>51</v>
      </c>
      <c r="Q5" s="3" t="s">
        <v>80</v>
      </c>
      <c r="R5" s="3">
        <v>900000</v>
      </c>
      <c r="T5" s="4" t="s">
        <v>30</v>
      </c>
      <c r="U5" s="5" t="s">
        <v>195</v>
      </c>
      <c r="V5" s="4">
        <v>51</v>
      </c>
      <c r="W5" s="5" t="s">
        <v>196</v>
      </c>
      <c r="X5" s="4">
        <v>8186704863</v>
      </c>
    </row>
    <row r="6" spans="2:24" ht="15" customHeight="1" thickBot="1" x14ac:dyDescent="0.4">
      <c r="B6" t="s">
        <v>157</v>
      </c>
      <c r="C6" t="s">
        <v>101</v>
      </c>
      <c r="D6" t="s">
        <v>67</v>
      </c>
      <c r="E6" t="s">
        <v>30</v>
      </c>
      <c r="F6" t="s">
        <v>23</v>
      </c>
      <c r="H6" t="s">
        <v>101</v>
      </c>
      <c r="I6" t="s">
        <v>102</v>
      </c>
      <c r="J6" t="s">
        <v>103</v>
      </c>
      <c r="K6" t="s">
        <v>104</v>
      </c>
      <c r="L6" s="2" t="s">
        <v>86</v>
      </c>
      <c r="M6" s="2">
        <v>0</v>
      </c>
      <c r="O6" t="s">
        <v>52</v>
      </c>
      <c r="P6" t="s">
        <v>51</v>
      </c>
      <c r="Q6" s="2" t="s">
        <v>80</v>
      </c>
      <c r="R6" s="2">
        <v>900000</v>
      </c>
      <c r="T6" s="4" t="s">
        <v>32</v>
      </c>
      <c r="U6" s="5" t="s">
        <v>197</v>
      </c>
      <c r="V6" s="4">
        <v>32</v>
      </c>
      <c r="W6" s="5" t="s">
        <v>198</v>
      </c>
      <c r="X6" s="4">
        <v>8891871026</v>
      </c>
    </row>
    <row r="7" spans="2:24" ht="15" customHeight="1" thickBot="1" x14ac:dyDescent="0.4">
      <c r="B7" t="s">
        <v>158</v>
      </c>
      <c r="C7" t="s">
        <v>105</v>
      </c>
      <c r="D7" t="s">
        <v>65</v>
      </c>
      <c r="E7" t="s">
        <v>32</v>
      </c>
      <c r="F7" t="s">
        <v>23</v>
      </c>
      <c r="H7" t="s">
        <v>105</v>
      </c>
      <c r="I7" t="s">
        <v>106</v>
      </c>
      <c r="J7" t="s">
        <v>107</v>
      </c>
      <c r="K7" t="s">
        <v>108</v>
      </c>
      <c r="L7" s="2" t="s">
        <v>88</v>
      </c>
      <c r="M7" s="2">
        <v>1500</v>
      </c>
      <c r="O7" t="s">
        <v>53</v>
      </c>
      <c r="P7" t="s">
        <v>55</v>
      </c>
      <c r="Q7" s="2" t="s">
        <v>81</v>
      </c>
      <c r="R7" s="2">
        <v>1200000</v>
      </c>
      <c r="T7" s="4" t="s">
        <v>34</v>
      </c>
      <c r="U7" s="5" t="s">
        <v>199</v>
      </c>
      <c r="V7" s="4">
        <v>54</v>
      </c>
      <c r="W7" s="5" t="s">
        <v>200</v>
      </c>
      <c r="X7" s="4">
        <v>8679643587</v>
      </c>
    </row>
    <row r="8" spans="2:24" ht="15" customHeight="1" thickBot="1" x14ac:dyDescent="0.4">
      <c r="B8" t="s">
        <v>159</v>
      </c>
      <c r="C8" t="s">
        <v>109</v>
      </c>
      <c r="D8" t="s">
        <v>71</v>
      </c>
      <c r="E8" t="s">
        <v>44</v>
      </c>
      <c r="F8" t="s">
        <v>21</v>
      </c>
      <c r="H8" t="s">
        <v>109</v>
      </c>
      <c r="I8" t="s">
        <v>110</v>
      </c>
      <c r="J8" t="s">
        <v>111</v>
      </c>
      <c r="K8" t="s">
        <v>112</v>
      </c>
      <c r="L8" s="2" t="s">
        <v>90</v>
      </c>
      <c r="M8" s="2">
        <v>1000</v>
      </c>
      <c r="O8" t="s">
        <v>56</v>
      </c>
      <c r="P8" t="s">
        <v>55</v>
      </c>
      <c r="Q8" s="2" t="s">
        <v>173</v>
      </c>
      <c r="R8" s="2">
        <v>2400000</v>
      </c>
      <c r="T8" t="s">
        <v>36</v>
      </c>
      <c r="U8" s="2" t="s">
        <v>201</v>
      </c>
      <c r="V8">
        <v>51</v>
      </c>
      <c r="W8" s="2" t="s">
        <v>202</v>
      </c>
      <c r="X8" t="s">
        <v>37</v>
      </c>
    </row>
    <row r="9" spans="2:24" ht="15" customHeight="1" thickBot="1" x14ac:dyDescent="0.4">
      <c r="B9" t="s">
        <v>160</v>
      </c>
      <c r="C9" t="s">
        <v>113</v>
      </c>
      <c r="D9" t="s">
        <v>68</v>
      </c>
      <c r="E9" t="s">
        <v>44</v>
      </c>
      <c r="F9" t="s">
        <v>23</v>
      </c>
      <c r="H9" t="s">
        <v>113</v>
      </c>
      <c r="I9" t="s">
        <v>114</v>
      </c>
      <c r="J9" t="s">
        <v>115</v>
      </c>
      <c r="K9" t="s">
        <v>116</v>
      </c>
      <c r="L9" s="2" t="s">
        <v>172</v>
      </c>
      <c r="M9" s="2">
        <v>0</v>
      </c>
      <c r="O9" t="s">
        <v>58</v>
      </c>
      <c r="P9" t="s">
        <v>51</v>
      </c>
      <c r="Q9" s="2" t="s">
        <v>78</v>
      </c>
      <c r="R9" s="2">
        <v>350000</v>
      </c>
      <c r="T9" t="s">
        <v>38</v>
      </c>
      <c r="U9" s="2" t="s">
        <v>203</v>
      </c>
      <c r="V9">
        <v>58</v>
      </c>
      <c r="W9" s="2" t="s">
        <v>204</v>
      </c>
      <c r="X9" t="s">
        <v>39</v>
      </c>
    </row>
    <row r="10" spans="2:24" ht="15" customHeight="1" thickBot="1" x14ac:dyDescent="0.4">
      <c r="B10" t="s">
        <v>161</v>
      </c>
      <c r="C10" t="s">
        <v>117</v>
      </c>
      <c r="D10" t="s">
        <v>49</v>
      </c>
      <c r="E10" t="s">
        <v>36</v>
      </c>
      <c r="F10" t="s">
        <v>17</v>
      </c>
      <c r="H10" t="s">
        <v>117</v>
      </c>
      <c r="I10" t="s">
        <v>118</v>
      </c>
      <c r="J10" t="s">
        <v>119</v>
      </c>
      <c r="K10" t="s">
        <v>120</v>
      </c>
      <c r="L10" s="2" t="s">
        <v>88</v>
      </c>
      <c r="M10" s="2">
        <v>1500</v>
      </c>
      <c r="O10" t="s">
        <v>59</v>
      </c>
      <c r="P10" t="s">
        <v>55</v>
      </c>
      <c r="Q10" s="2" t="s">
        <v>80</v>
      </c>
      <c r="R10" s="2">
        <v>900000</v>
      </c>
      <c r="T10" t="s">
        <v>40</v>
      </c>
      <c r="U10" s="2" t="s">
        <v>205</v>
      </c>
      <c r="V10">
        <v>48</v>
      </c>
      <c r="W10" s="2" t="s">
        <v>206</v>
      </c>
      <c r="X10" t="s">
        <v>41</v>
      </c>
    </row>
    <row r="11" spans="2:24" ht="15" customHeight="1" thickBot="1" x14ac:dyDescent="0.4">
      <c r="B11" t="s">
        <v>162</v>
      </c>
      <c r="C11" t="s">
        <v>121</v>
      </c>
      <c r="D11" t="s">
        <v>71</v>
      </c>
      <c r="E11" t="s">
        <v>42</v>
      </c>
      <c r="F11" t="s">
        <v>9</v>
      </c>
      <c r="H11" t="s">
        <v>121</v>
      </c>
      <c r="I11" t="s">
        <v>122</v>
      </c>
      <c r="J11" t="s">
        <v>123</v>
      </c>
      <c r="K11" t="s">
        <v>124</v>
      </c>
      <c r="L11" s="2" t="s">
        <v>92</v>
      </c>
      <c r="M11" s="2">
        <v>500</v>
      </c>
      <c r="O11" t="s">
        <v>60</v>
      </c>
      <c r="P11" t="s">
        <v>55</v>
      </c>
      <c r="Q11" s="2" t="s">
        <v>78</v>
      </c>
      <c r="R11" s="2">
        <v>350000</v>
      </c>
      <c r="T11" t="s">
        <v>42</v>
      </c>
      <c r="U11" s="2" t="s">
        <v>207</v>
      </c>
      <c r="V11">
        <v>31</v>
      </c>
      <c r="W11" s="2" t="s">
        <v>208</v>
      </c>
      <c r="X11" t="s">
        <v>43</v>
      </c>
    </row>
    <row r="12" spans="2:24" ht="15" customHeight="1" thickBot="1" x14ac:dyDescent="0.4">
      <c r="B12" t="s">
        <v>163</v>
      </c>
      <c r="C12" t="s">
        <v>125</v>
      </c>
      <c r="D12" t="s">
        <v>71</v>
      </c>
      <c r="E12" t="s">
        <v>32</v>
      </c>
      <c r="F12" t="s">
        <v>23</v>
      </c>
      <c r="H12" t="s">
        <v>125</v>
      </c>
      <c r="I12" t="s">
        <v>126</v>
      </c>
      <c r="J12" t="s">
        <v>124</v>
      </c>
      <c r="K12" t="s">
        <v>127</v>
      </c>
      <c r="L12" s="2" t="s">
        <v>88</v>
      </c>
      <c r="M12" s="2">
        <v>1500</v>
      </c>
      <c r="O12" t="s">
        <v>61</v>
      </c>
      <c r="P12" t="s">
        <v>62</v>
      </c>
      <c r="Q12" s="2" t="s">
        <v>78</v>
      </c>
      <c r="R12" s="2">
        <v>350000</v>
      </c>
      <c r="T12" t="s">
        <v>44</v>
      </c>
      <c r="U12" s="2" t="s">
        <v>209</v>
      </c>
      <c r="V12">
        <v>37</v>
      </c>
      <c r="W12" s="2" t="s">
        <v>210</v>
      </c>
      <c r="X12" t="s">
        <v>45</v>
      </c>
    </row>
    <row r="13" spans="2:24" ht="15" customHeight="1" thickBot="1" x14ac:dyDescent="0.4">
      <c r="B13" t="s">
        <v>164</v>
      </c>
      <c r="C13" t="s">
        <v>128</v>
      </c>
      <c r="D13" t="s">
        <v>67</v>
      </c>
      <c r="E13" t="s">
        <v>44</v>
      </c>
      <c r="F13" t="s">
        <v>5</v>
      </c>
      <c r="H13" t="s">
        <v>128</v>
      </c>
      <c r="I13" t="s">
        <v>129</v>
      </c>
      <c r="J13" t="s">
        <v>130</v>
      </c>
      <c r="K13" t="s">
        <v>131</v>
      </c>
      <c r="L13" s="2" t="s">
        <v>172</v>
      </c>
      <c r="M13" s="2">
        <v>0</v>
      </c>
      <c r="O13" t="s">
        <v>63</v>
      </c>
      <c r="P13" t="s">
        <v>62</v>
      </c>
      <c r="Q13" s="2" t="s">
        <v>79</v>
      </c>
      <c r="R13" s="2">
        <v>500000</v>
      </c>
    </row>
    <row r="14" spans="2:24" ht="15" customHeight="1" thickBot="1" x14ac:dyDescent="0.4">
      <c r="B14" t="s">
        <v>165</v>
      </c>
      <c r="C14" t="s">
        <v>132</v>
      </c>
      <c r="D14" t="s">
        <v>66</v>
      </c>
      <c r="E14" t="s">
        <v>38</v>
      </c>
      <c r="F14" t="s">
        <v>11</v>
      </c>
      <c r="H14" t="s">
        <v>132</v>
      </c>
      <c r="I14" t="s">
        <v>133</v>
      </c>
      <c r="J14" t="s">
        <v>134</v>
      </c>
      <c r="K14" t="s">
        <v>135</v>
      </c>
      <c r="L14" s="2" t="s">
        <v>88</v>
      </c>
      <c r="M14" s="2">
        <v>1500</v>
      </c>
      <c r="O14" t="s">
        <v>65</v>
      </c>
      <c r="P14" t="s">
        <v>62</v>
      </c>
      <c r="Q14" s="2" t="s">
        <v>79</v>
      </c>
      <c r="R14" s="2">
        <v>500000</v>
      </c>
      <c r="T14" t="s">
        <v>243</v>
      </c>
    </row>
    <row r="15" spans="2:24" ht="15" customHeight="1" thickBot="1" x14ac:dyDescent="0.4">
      <c r="B15" t="s">
        <v>166</v>
      </c>
      <c r="C15" t="s">
        <v>136</v>
      </c>
      <c r="D15" t="s">
        <v>58</v>
      </c>
      <c r="E15" t="s">
        <v>32</v>
      </c>
      <c r="F15" t="s">
        <v>11</v>
      </c>
      <c r="H15" t="s">
        <v>136</v>
      </c>
      <c r="I15" t="s">
        <v>137</v>
      </c>
      <c r="J15" t="s">
        <v>138</v>
      </c>
      <c r="K15" t="s">
        <v>135</v>
      </c>
      <c r="L15" s="2" t="s">
        <v>86</v>
      </c>
      <c r="M15" s="2">
        <v>0</v>
      </c>
      <c r="O15" t="s">
        <v>66</v>
      </c>
      <c r="P15" t="s">
        <v>51</v>
      </c>
      <c r="Q15" s="2" t="s">
        <v>80</v>
      </c>
      <c r="R15" s="2">
        <v>900000</v>
      </c>
    </row>
    <row r="16" spans="2:24" ht="15" customHeight="1" thickBot="1" x14ac:dyDescent="0.4">
      <c r="B16" t="s">
        <v>167</v>
      </c>
      <c r="C16" t="s">
        <v>139</v>
      </c>
      <c r="D16" t="s">
        <v>66</v>
      </c>
      <c r="E16" t="s">
        <v>38</v>
      </c>
      <c r="F16" t="s">
        <v>23</v>
      </c>
      <c r="H16" t="s">
        <v>139</v>
      </c>
      <c r="I16" t="s">
        <v>140</v>
      </c>
      <c r="J16" t="s">
        <v>141</v>
      </c>
      <c r="K16" t="s">
        <v>142</v>
      </c>
      <c r="L16" s="2" t="s">
        <v>92</v>
      </c>
      <c r="M16" s="2">
        <v>500</v>
      </c>
      <c r="O16" t="s">
        <v>67</v>
      </c>
      <c r="P16" t="s">
        <v>55</v>
      </c>
      <c r="Q16" s="2" t="s">
        <v>79</v>
      </c>
      <c r="R16" s="2">
        <v>500000</v>
      </c>
      <c r="T16" s="9" t="s">
        <v>0</v>
      </c>
      <c r="U16" s="9" t="s">
        <v>1</v>
      </c>
      <c r="V16" s="9" t="s">
        <v>2</v>
      </c>
      <c r="W16" s="9" t="s">
        <v>3</v>
      </c>
      <c r="X16" s="9" t="s">
        <v>4</v>
      </c>
    </row>
    <row r="17" spans="2:24" ht="15" customHeight="1" thickBot="1" x14ac:dyDescent="0.4">
      <c r="B17" t="s">
        <v>168</v>
      </c>
      <c r="C17" t="s">
        <v>143</v>
      </c>
      <c r="D17" t="s">
        <v>68</v>
      </c>
      <c r="E17" t="s">
        <v>40</v>
      </c>
      <c r="F17" t="s">
        <v>15</v>
      </c>
      <c r="H17" t="s">
        <v>143</v>
      </c>
      <c r="I17" t="s">
        <v>144</v>
      </c>
      <c r="J17" t="s">
        <v>145</v>
      </c>
      <c r="K17" t="s">
        <v>146</v>
      </c>
      <c r="L17" s="2" t="s">
        <v>86</v>
      </c>
      <c r="M17" s="2">
        <v>0</v>
      </c>
      <c r="O17" t="s">
        <v>68</v>
      </c>
      <c r="P17" t="s">
        <v>62</v>
      </c>
      <c r="Q17" s="2" t="s">
        <v>80</v>
      </c>
      <c r="R17" s="2">
        <v>900000</v>
      </c>
      <c r="T17" t="s">
        <v>5</v>
      </c>
      <c r="U17" s="2" t="s">
        <v>175</v>
      </c>
      <c r="V17">
        <v>49</v>
      </c>
      <c r="W17" s="2" t="s">
        <v>176</v>
      </c>
      <c r="X17" t="s">
        <v>6</v>
      </c>
    </row>
    <row r="18" spans="2:24" ht="15" customHeight="1" thickBot="1" x14ac:dyDescent="0.4">
      <c r="B18" t="s">
        <v>169</v>
      </c>
      <c r="C18" t="s">
        <v>147</v>
      </c>
      <c r="D18" t="s">
        <v>53</v>
      </c>
      <c r="E18" t="s">
        <v>30</v>
      </c>
      <c r="F18" t="s">
        <v>9</v>
      </c>
      <c r="H18" t="s">
        <v>147</v>
      </c>
      <c r="I18" t="s">
        <v>148</v>
      </c>
      <c r="J18" t="s">
        <v>149</v>
      </c>
      <c r="K18" t="s">
        <v>150</v>
      </c>
      <c r="L18" s="2" t="s">
        <v>90</v>
      </c>
      <c r="M18" s="2">
        <v>1000</v>
      </c>
      <c r="O18" t="s">
        <v>69</v>
      </c>
      <c r="P18" t="s">
        <v>55</v>
      </c>
      <c r="Q18" s="2" t="s">
        <v>173</v>
      </c>
      <c r="R18" s="2">
        <v>2400000</v>
      </c>
      <c r="T18" t="s">
        <v>7</v>
      </c>
      <c r="U18" s="2" t="s">
        <v>177</v>
      </c>
      <c r="V18">
        <v>22</v>
      </c>
      <c r="W18" s="2" t="s">
        <v>178</v>
      </c>
      <c r="X18" t="s">
        <v>8</v>
      </c>
    </row>
    <row r="19" spans="2:24" ht="15" customHeight="1" thickBot="1" x14ac:dyDescent="0.4">
      <c r="B19" t="s">
        <v>170</v>
      </c>
      <c r="C19" t="s">
        <v>151</v>
      </c>
      <c r="D19" t="s">
        <v>70</v>
      </c>
      <c r="E19" t="s">
        <v>34</v>
      </c>
      <c r="F19" t="s">
        <v>15</v>
      </c>
      <c r="H19" t="s">
        <v>151</v>
      </c>
      <c r="I19" t="s">
        <v>152</v>
      </c>
      <c r="J19" t="s">
        <v>153</v>
      </c>
      <c r="K19" t="s">
        <v>154</v>
      </c>
      <c r="L19" s="2" t="s">
        <v>86</v>
      </c>
      <c r="M19" s="2">
        <v>0</v>
      </c>
      <c r="O19" t="s">
        <v>70</v>
      </c>
      <c r="P19" t="s">
        <v>51</v>
      </c>
      <c r="Q19" s="2" t="s">
        <v>80</v>
      </c>
      <c r="R19" s="2">
        <v>900000</v>
      </c>
      <c r="T19" t="s">
        <v>9</v>
      </c>
      <c r="U19" s="2" t="s">
        <v>179</v>
      </c>
      <c r="V19">
        <v>35</v>
      </c>
      <c r="W19" s="2" t="s">
        <v>180</v>
      </c>
      <c r="X19" t="s">
        <v>10</v>
      </c>
    </row>
    <row r="20" spans="2:24" ht="15" customHeight="1" thickBot="1" x14ac:dyDescent="0.4">
      <c r="B20" t="s">
        <v>211</v>
      </c>
      <c r="C20" t="s">
        <v>222</v>
      </c>
      <c r="D20" t="s">
        <v>52</v>
      </c>
      <c r="E20" t="s">
        <v>32</v>
      </c>
      <c r="F20" t="s">
        <v>7</v>
      </c>
      <c r="H20" t="s">
        <v>222</v>
      </c>
      <c r="I20" t="s">
        <v>98</v>
      </c>
      <c r="J20" t="s">
        <v>99</v>
      </c>
      <c r="K20" t="s">
        <v>100</v>
      </c>
      <c r="L20" s="3" t="s">
        <v>172</v>
      </c>
      <c r="M20" s="3">
        <v>0</v>
      </c>
      <c r="O20" t="s">
        <v>71</v>
      </c>
      <c r="P20" t="s">
        <v>62</v>
      </c>
      <c r="Q20" s="2" t="s">
        <v>80</v>
      </c>
      <c r="R20" s="2">
        <v>900000</v>
      </c>
      <c r="T20" t="s">
        <v>11</v>
      </c>
      <c r="U20" s="2" t="s">
        <v>181</v>
      </c>
      <c r="V20">
        <v>29</v>
      </c>
      <c r="W20" s="2" t="s">
        <v>182</v>
      </c>
      <c r="X20" t="s">
        <v>12</v>
      </c>
    </row>
    <row r="21" spans="2:24" ht="15" customHeight="1" thickBot="1" x14ac:dyDescent="0.4">
      <c r="B21" t="s">
        <v>212</v>
      </c>
      <c r="C21" t="s">
        <v>223</v>
      </c>
      <c r="D21" t="s">
        <v>56</v>
      </c>
      <c r="E21" t="s">
        <v>30</v>
      </c>
      <c r="F21" t="s">
        <v>23</v>
      </c>
      <c r="H21" t="s">
        <v>223</v>
      </c>
      <c r="I21" t="s">
        <v>102</v>
      </c>
      <c r="J21" t="s">
        <v>103</v>
      </c>
      <c r="K21" t="s">
        <v>104</v>
      </c>
      <c r="L21" s="2" t="s">
        <v>86</v>
      </c>
      <c r="M21" s="2">
        <v>0</v>
      </c>
      <c r="O21" t="s">
        <v>72</v>
      </c>
      <c r="P21" t="s">
        <v>62</v>
      </c>
      <c r="Q21" s="2" t="s">
        <v>80</v>
      </c>
      <c r="R21" s="2">
        <v>900000</v>
      </c>
      <c r="T21" t="s">
        <v>13</v>
      </c>
      <c r="U21" s="2" t="s">
        <v>183</v>
      </c>
      <c r="V21">
        <v>27</v>
      </c>
      <c r="W21" s="2" t="s">
        <v>184</v>
      </c>
      <c r="X21" t="s">
        <v>14</v>
      </c>
    </row>
    <row r="22" spans="2:24" ht="15" customHeight="1" thickBot="1" x14ac:dyDescent="0.4">
      <c r="B22" t="s">
        <v>213</v>
      </c>
      <c r="C22" t="s">
        <v>224</v>
      </c>
      <c r="D22" t="s">
        <v>59</v>
      </c>
      <c r="E22" t="s">
        <v>32</v>
      </c>
      <c r="F22" t="s">
        <v>23</v>
      </c>
      <c r="H22" t="s">
        <v>224</v>
      </c>
      <c r="I22" t="s">
        <v>106</v>
      </c>
      <c r="J22" t="s">
        <v>107</v>
      </c>
      <c r="K22" t="s">
        <v>108</v>
      </c>
      <c r="L22" s="2" t="s">
        <v>88</v>
      </c>
      <c r="M22" s="2">
        <v>1500</v>
      </c>
      <c r="O22" t="s">
        <v>73</v>
      </c>
      <c r="P22" t="s">
        <v>55</v>
      </c>
      <c r="Q22" s="2" t="s">
        <v>81</v>
      </c>
      <c r="R22" s="2">
        <v>1200000</v>
      </c>
      <c r="T22" t="s">
        <v>15</v>
      </c>
      <c r="U22" s="2" t="s">
        <v>185</v>
      </c>
      <c r="V22">
        <v>38</v>
      </c>
      <c r="W22" s="2" t="s">
        <v>186</v>
      </c>
      <c r="X22" t="s">
        <v>16</v>
      </c>
    </row>
    <row r="23" spans="2:24" ht="15" customHeight="1" thickBot="1" x14ac:dyDescent="0.4">
      <c r="B23" t="s">
        <v>214</v>
      </c>
      <c r="C23" t="s">
        <v>225</v>
      </c>
      <c r="D23" t="s">
        <v>60</v>
      </c>
      <c r="E23" t="s">
        <v>44</v>
      </c>
      <c r="F23" t="s">
        <v>21</v>
      </c>
      <c r="H23" t="s">
        <v>225</v>
      </c>
      <c r="I23" t="s">
        <v>110</v>
      </c>
      <c r="J23" t="s">
        <v>111</v>
      </c>
      <c r="K23" t="s">
        <v>112</v>
      </c>
      <c r="L23" s="2" t="s">
        <v>90</v>
      </c>
      <c r="M23" s="2">
        <v>1000</v>
      </c>
      <c r="O23" t="s">
        <v>74</v>
      </c>
      <c r="P23" t="s">
        <v>62</v>
      </c>
      <c r="Q23" s="2" t="s">
        <v>78</v>
      </c>
      <c r="R23" s="2">
        <v>350000</v>
      </c>
      <c r="T23" t="s">
        <v>17</v>
      </c>
      <c r="U23" s="2" t="s">
        <v>187</v>
      </c>
      <c r="V23">
        <v>54</v>
      </c>
      <c r="W23" s="2" t="s">
        <v>188</v>
      </c>
      <c r="X23" t="s">
        <v>18</v>
      </c>
    </row>
    <row r="24" spans="2:24" ht="15" customHeight="1" thickBot="1" x14ac:dyDescent="0.4">
      <c r="B24" t="s">
        <v>215</v>
      </c>
      <c r="C24" t="s">
        <v>226</v>
      </c>
      <c r="D24" t="s">
        <v>61</v>
      </c>
      <c r="E24" t="s">
        <v>44</v>
      </c>
      <c r="F24" t="s">
        <v>23</v>
      </c>
      <c r="H24" t="s">
        <v>226</v>
      </c>
      <c r="I24" t="s">
        <v>114</v>
      </c>
      <c r="J24" t="s">
        <v>115</v>
      </c>
      <c r="K24" t="s">
        <v>116</v>
      </c>
      <c r="L24" s="2" t="s">
        <v>172</v>
      </c>
      <c r="M24" s="2">
        <v>0</v>
      </c>
      <c r="O24" t="s">
        <v>75</v>
      </c>
      <c r="P24" t="s">
        <v>62</v>
      </c>
      <c r="Q24" s="2" t="s">
        <v>173</v>
      </c>
      <c r="R24" s="2">
        <v>2400000</v>
      </c>
      <c r="T24" t="s">
        <v>19</v>
      </c>
      <c r="U24" s="2" t="s">
        <v>189</v>
      </c>
      <c r="V24">
        <v>53</v>
      </c>
      <c r="W24" t="s">
        <v>190</v>
      </c>
      <c r="X24" s="1" t="s">
        <v>20</v>
      </c>
    </row>
    <row r="25" spans="2:24" ht="15" customHeight="1" thickBot="1" x14ac:dyDescent="0.4">
      <c r="B25" t="s">
        <v>216</v>
      </c>
      <c r="C25" t="s">
        <v>227</v>
      </c>
      <c r="D25" t="s">
        <v>63</v>
      </c>
      <c r="E25" t="s">
        <v>36</v>
      </c>
      <c r="F25" t="s">
        <v>17</v>
      </c>
      <c r="H25" t="s">
        <v>227</v>
      </c>
      <c r="I25" t="s">
        <v>118</v>
      </c>
      <c r="J25" t="s">
        <v>119</v>
      </c>
      <c r="K25" t="s">
        <v>120</v>
      </c>
      <c r="L25" s="2" t="s">
        <v>88</v>
      </c>
      <c r="M25" s="2">
        <v>1500</v>
      </c>
      <c r="T25" t="s">
        <v>21</v>
      </c>
      <c r="U25" s="2" t="s">
        <v>191</v>
      </c>
      <c r="V25">
        <v>45</v>
      </c>
      <c r="W25" s="2" t="s">
        <v>192</v>
      </c>
      <c r="X25" t="s">
        <v>22</v>
      </c>
    </row>
    <row r="26" spans="2:24" ht="15" customHeight="1" thickBot="1" x14ac:dyDescent="0.4">
      <c r="B26" t="s">
        <v>217</v>
      </c>
      <c r="C26" t="s">
        <v>228</v>
      </c>
      <c r="D26" t="s">
        <v>69</v>
      </c>
      <c r="E26" t="s">
        <v>42</v>
      </c>
      <c r="F26" t="s">
        <v>9</v>
      </c>
      <c r="H26" t="s">
        <v>228</v>
      </c>
      <c r="I26" t="s">
        <v>122</v>
      </c>
      <c r="J26" t="s">
        <v>123</v>
      </c>
      <c r="K26" t="s">
        <v>124</v>
      </c>
      <c r="L26" s="2" t="s">
        <v>92</v>
      </c>
      <c r="M26" s="2">
        <v>500</v>
      </c>
      <c r="T26" t="s">
        <v>23</v>
      </c>
      <c r="U26" s="2" t="s">
        <v>193</v>
      </c>
      <c r="V26">
        <v>27</v>
      </c>
      <c r="W26" s="2" t="s">
        <v>194</v>
      </c>
      <c r="X26" t="s">
        <v>24</v>
      </c>
    </row>
    <row r="27" spans="2:24" ht="15" customHeight="1" thickBot="1" x14ac:dyDescent="0.4">
      <c r="B27" t="s">
        <v>218</v>
      </c>
      <c r="C27" t="s">
        <v>229</v>
      </c>
      <c r="D27" t="s">
        <v>72</v>
      </c>
      <c r="E27" t="s">
        <v>32</v>
      </c>
      <c r="F27" t="s">
        <v>23</v>
      </c>
      <c r="H27" t="s">
        <v>229</v>
      </c>
      <c r="I27" t="s">
        <v>126</v>
      </c>
      <c r="J27" t="s">
        <v>124</v>
      </c>
      <c r="K27" t="s">
        <v>127</v>
      </c>
      <c r="L27" s="2" t="s">
        <v>88</v>
      </c>
      <c r="M27" s="2">
        <v>1500</v>
      </c>
    </row>
    <row r="28" spans="2:24" ht="15" customHeight="1" thickBot="1" x14ac:dyDescent="0.4">
      <c r="B28" t="s">
        <v>219</v>
      </c>
      <c r="C28" t="s">
        <v>230</v>
      </c>
      <c r="D28" t="s">
        <v>73</v>
      </c>
      <c r="E28" t="s">
        <v>44</v>
      </c>
      <c r="F28" t="s">
        <v>5</v>
      </c>
      <c r="H28" t="s">
        <v>230</v>
      </c>
      <c r="I28" t="s">
        <v>129</v>
      </c>
      <c r="J28" t="s">
        <v>130</v>
      </c>
      <c r="K28" t="s">
        <v>131</v>
      </c>
      <c r="L28" s="2" t="s">
        <v>172</v>
      </c>
      <c r="M28" s="2">
        <v>0</v>
      </c>
    </row>
    <row r="29" spans="2:24" ht="15" customHeight="1" thickBot="1" x14ac:dyDescent="0.4">
      <c r="B29" t="s">
        <v>220</v>
      </c>
      <c r="C29" t="s">
        <v>231</v>
      </c>
      <c r="D29" t="s">
        <v>74</v>
      </c>
      <c r="E29" t="s">
        <v>38</v>
      </c>
      <c r="F29" t="s">
        <v>11</v>
      </c>
      <c r="H29" t="s">
        <v>231</v>
      </c>
      <c r="I29" t="s">
        <v>133</v>
      </c>
      <c r="J29" t="s">
        <v>134</v>
      </c>
      <c r="K29" t="s">
        <v>135</v>
      </c>
      <c r="L29" s="2" t="s">
        <v>88</v>
      </c>
      <c r="M29" s="2">
        <v>1500</v>
      </c>
    </row>
    <row r="30" spans="2:24" ht="15" customHeight="1" thickBot="1" x14ac:dyDescent="0.4">
      <c r="B30" t="s">
        <v>221</v>
      </c>
      <c r="C30" t="s">
        <v>232</v>
      </c>
      <c r="D30" t="s">
        <v>75</v>
      </c>
      <c r="E30" t="s">
        <v>32</v>
      </c>
      <c r="F30" t="s">
        <v>11</v>
      </c>
      <c r="H30" t="s">
        <v>232</v>
      </c>
      <c r="I30" t="s">
        <v>137</v>
      </c>
      <c r="J30" t="s">
        <v>138</v>
      </c>
      <c r="K30" t="s">
        <v>135</v>
      </c>
      <c r="L30" s="2" t="s">
        <v>86</v>
      </c>
      <c r="M30" s="2">
        <v>0</v>
      </c>
    </row>
  </sheetData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866B-0242-4488-BAC1-0A88C06D223A}">
  <dimension ref="B2:Z30"/>
  <sheetViews>
    <sheetView zoomScale="85" zoomScaleNormal="85" workbookViewId="0">
      <selection activeCell="I4" sqref="I4"/>
    </sheetView>
  </sheetViews>
  <sheetFormatPr defaultRowHeight="15" customHeight="1" x14ac:dyDescent="0.35"/>
  <cols>
    <col min="2" max="2" width="8.7265625" bestFit="1" customWidth="1"/>
    <col min="3" max="3" width="12.54296875" bestFit="1" customWidth="1"/>
    <col min="4" max="4" width="7.7265625" bestFit="1" customWidth="1"/>
    <col min="5" max="5" width="6.7265625" bestFit="1" customWidth="1"/>
    <col min="6" max="6" width="10.81640625" bestFit="1" customWidth="1"/>
    <col min="8" max="8" width="12.54296875" bestFit="1" customWidth="1"/>
    <col min="9" max="9" width="14.7265625" bestFit="1" customWidth="1"/>
    <col min="10" max="10" width="15.81640625" bestFit="1" customWidth="1"/>
    <col min="11" max="11" width="17.453125" bestFit="1" customWidth="1"/>
    <col min="12" max="12" width="14.54296875" bestFit="1" customWidth="1"/>
    <col min="14" max="14" width="14.54296875" bestFit="1" customWidth="1"/>
    <col min="15" max="15" width="17.81640625" bestFit="1" customWidth="1"/>
    <col min="16" max="16" width="11.453125" bestFit="1" customWidth="1"/>
    <col min="18" max="18" width="7.7265625" bestFit="1" customWidth="1"/>
    <col min="19" max="19" width="11.81640625" bestFit="1" customWidth="1"/>
    <col min="20" max="20" width="15.26953125" bestFit="1" customWidth="1"/>
    <col min="22" max="22" width="10.81640625" bestFit="1" customWidth="1"/>
    <col min="23" max="23" width="14.7265625" bestFit="1" customWidth="1"/>
    <col min="24" max="24" width="12.26953125" bestFit="1" customWidth="1"/>
    <col min="25" max="25" width="25.1796875" bestFit="1" customWidth="1"/>
    <col min="26" max="26" width="12.7265625" bestFit="1" customWidth="1"/>
  </cols>
  <sheetData>
    <row r="2" spans="2:26" ht="15" customHeight="1" x14ac:dyDescent="0.35">
      <c r="B2" s="14" t="s">
        <v>233</v>
      </c>
      <c r="C2" s="14"/>
      <c r="H2" s="14" t="s">
        <v>234</v>
      </c>
      <c r="I2" s="14"/>
      <c r="N2" s="14" t="s">
        <v>235</v>
      </c>
      <c r="O2" s="14"/>
      <c r="R2" s="14" t="s">
        <v>241</v>
      </c>
      <c r="S2" s="14"/>
      <c r="V2" s="14" t="s">
        <v>242</v>
      </c>
      <c r="W2" s="14"/>
    </row>
    <row r="4" spans="2:26" ht="15" customHeight="1" thickBot="1" x14ac:dyDescent="0.4">
      <c r="B4" s="9" t="s">
        <v>155</v>
      </c>
      <c r="C4" s="9" t="s">
        <v>93</v>
      </c>
      <c r="D4" s="9" t="s">
        <v>46</v>
      </c>
      <c r="E4" s="9" t="s">
        <v>25</v>
      </c>
      <c r="F4" s="9" t="s">
        <v>0</v>
      </c>
      <c r="H4" s="9" t="s">
        <v>93</v>
      </c>
      <c r="I4" s="9" t="s">
        <v>94</v>
      </c>
      <c r="J4" s="9" t="s">
        <v>95</v>
      </c>
      <c r="K4" s="9" t="s">
        <v>96</v>
      </c>
      <c r="L4" s="9" t="s">
        <v>82</v>
      </c>
      <c r="N4" s="9" t="s">
        <v>82</v>
      </c>
      <c r="O4" s="9" t="s">
        <v>83</v>
      </c>
      <c r="P4" s="9" t="s">
        <v>84</v>
      </c>
      <c r="R4" s="9" t="s">
        <v>46</v>
      </c>
      <c r="S4" s="9" t="s">
        <v>47</v>
      </c>
      <c r="T4" s="9" t="s">
        <v>48</v>
      </c>
      <c r="V4" s="9" t="s">
        <v>25</v>
      </c>
      <c r="W4" s="9" t="s">
        <v>26</v>
      </c>
      <c r="X4" s="9" t="s">
        <v>27</v>
      </c>
      <c r="Y4" s="9" t="s">
        <v>28</v>
      </c>
      <c r="Z4" s="9" t="s">
        <v>29</v>
      </c>
    </row>
    <row r="5" spans="2:26" ht="15" customHeight="1" thickBot="1" x14ac:dyDescent="0.4">
      <c r="B5" t="s">
        <v>156</v>
      </c>
      <c r="C5" t="s">
        <v>97</v>
      </c>
      <c r="D5" t="s">
        <v>49</v>
      </c>
      <c r="E5" t="s">
        <v>32</v>
      </c>
      <c r="F5" t="s">
        <v>7</v>
      </c>
      <c r="H5" t="s">
        <v>97</v>
      </c>
      <c r="I5" t="s">
        <v>98</v>
      </c>
      <c r="J5" t="s">
        <v>99</v>
      </c>
      <c r="K5" t="s">
        <v>100</v>
      </c>
      <c r="L5" t="s">
        <v>171</v>
      </c>
      <c r="N5" t="s">
        <v>85</v>
      </c>
      <c r="O5" t="s">
        <v>86</v>
      </c>
      <c r="P5">
        <v>0</v>
      </c>
      <c r="R5" t="s">
        <v>49</v>
      </c>
      <c r="S5" t="s">
        <v>50</v>
      </c>
      <c r="T5" t="s">
        <v>51</v>
      </c>
      <c r="V5" t="s">
        <v>30</v>
      </c>
      <c r="W5" s="2" t="s">
        <v>195</v>
      </c>
      <c r="X5">
        <v>51</v>
      </c>
      <c r="Y5" s="2" t="s">
        <v>196</v>
      </c>
      <c r="Z5" t="s">
        <v>31</v>
      </c>
    </row>
    <row r="6" spans="2:26" ht="15" customHeight="1" thickBot="1" x14ac:dyDescent="0.4">
      <c r="B6" t="s">
        <v>157</v>
      </c>
      <c r="C6" t="s">
        <v>101</v>
      </c>
      <c r="D6" t="s">
        <v>67</v>
      </c>
      <c r="E6" t="s">
        <v>30</v>
      </c>
      <c r="F6" t="s">
        <v>23</v>
      </c>
      <c r="H6" t="s">
        <v>101</v>
      </c>
      <c r="I6" t="s">
        <v>102</v>
      </c>
      <c r="J6" t="s">
        <v>103</v>
      </c>
      <c r="K6" t="s">
        <v>104</v>
      </c>
      <c r="L6" t="s">
        <v>85</v>
      </c>
      <c r="N6" t="s">
        <v>87</v>
      </c>
      <c r="O6" t="s">
        <v>88</v>
      </c>
      <c r="P6">
        <v>1500</v>
      </c>
      <c r="R6" t="s">
        <v>52</v>
      </c>
      <c r="S6" t="s">
        <v>50</v>
      </c>
      <c r="T6" t="s">
        <v>51</v>
      </c>
      <c r="V6" t="s">
        <v>32</v>
      </c>
      <c r="W6" s="2" t="s">
        <v>197</v>
      </c>
      <c r="X6">
        <v>32</v>
      </c>
      <c r="Y6" s="2" t="s">
        <v>198</v>
      </c>
      <c r="Z6" t="s">
        <v>33</v>
      </c>
    </row>
    <row r="7" spans="2:26" ht="15" customHeight="1" thickBot="1" x14ac:dyDescent="0.4">
      <c r="B7" t="s">
        <v>158</v>
      </c>
      <c r="C7" t="s">
        <v>105</v>
      </c>
      <c r="D7" t="s">
        <v>65</v>
      </c>
      <c r="E7" t="s">
        <v>32</v>
      </c>
      <c r="F7" t="s">
        <v>23</v>
      </c>
      <c r="H7" t="s">
        <v>105</v>
      </c>
      <c r="I7" t="s">
        <v>106</v>
      </c>
      <c r="J7" t="s">
        <v>107</v>
      </c>
      <c r="K7" t="s">
        <v>108</v>
      </c>
      <c r="L7" t="s">
        <v>87</v>
      </c>
      <c r="N7" t="s">
        <v>89</v>
      </c>
      <c r="O7" t="s">
        <v>90</v>
      </c>
      <c r="P7">
        <v>1000</v>
      </c>
      <c r="R7" t="s">
        <v>53</v>
      </c>
      <c r="S7" t="s">
        <v>54</v>
      </c>
      <c r="T7" t="s">
        <v>55</v>
      </c>
      <c r="V7" t="s">
        <v>34</v>
      </c>
      <c r="W7" s="2" t="s">
        <v>199</v>
      </c>
      <c r="X7">
        <v>54</v>
      </c>
      <c r="Y7" s="2" t="s">
        <v>200</v>
      </c>
      <c r="Z7" t="s">
        <v>35</v>
      </c>
    </row>
    <row r="8" spans="2:26" ht="15" customHeight="1" thickBot="1" x14ac:dyDescent="0.4">
      <c r="B8" t="s">
        <v>159</v>
      </c>
      <c r="C8" t="s">
        <v>109</v>
      </c>
      <c r="D8" t="s">
        <v>71</v>
      </c>
      <c r="E8" t="s">
        <v>44</v>
      </c>
      <c r="F8" t="s">
        <v>21</v>
      </c>
      <c r="H8" t="s">
        <v>109</v>
      </c>
      <c r="I8" t="s">
        <v>110</v>
      </c>
      <c r="J8" t="s">
        <v>111</v>
      </c>
      <c r="K8" t="s">
        <v>112</v>
      </c>
      <c r="L8" t="s">
        <v>89</v>
      </c>
      <c r="N8" t="s">
        <v>91</v>
      </c>
      <c r="O8" t="s">
        <v>92</v>
      </c>
      <c r="P8">
        <v>500</v>
      </c>
      <c r="R8" t="s">
        <v>56</v>
      </c>
      <c r="S8" t="s">
        <v>174</v>
      </c>
      <c r="T8" t="s">
        <v>55</v>
      </c>
      <c r="V8" t="s">
        <v>36</v>
      </c>
      <c r="W8" s="2" t="s">
        <v>201</v>
      </c>
      <c r="X8">
        <v>51</v>
      </c>
      <c r="Y8" s="2" t="s">
        <v>202</v>
      </c>
      <c r="Z8" t="s">
        <v>37</v>
      </c>
    </row>
    <row r="9" spans="2:26" ht="15" customHeight="1" thickBot="1" x14ac:dyDescent="0.4">
      <c r="B9" t="s">
        <v>160</v>
      </c>
      <c r="C9" t="s">
        <v>113</v>
      </c>
      <c r="D9" t="s">
        <v>68</v>
      </c>
      <c r="E9" t="s">
        <v>44</v>
      </c>
      <c r="F9" t="s">
        <v>23</v>
      </c>
      <c r="H9" t="s">
        <v>113</v>
      </c>
      <c r="I9" t="s">
        <v>114</v>
      </c>
      <c r="J9" t="s">
        <v>115</v>
      </c>
      <c r="K9" t="s">
        <v>116</v>
      </c>
      <c r="L9" t="s">
        <v>171</v>
      </c>
      <c r="N9" t="s">
        <v>171</v>
      </c>
      <c r="O9" t="s">
        <v>172</v>
      </c>
      <c r="P9">
        <v>0</v>
      </c>
      <c r="R9" t="s">
        <v>58</v>
      </c>
      <c r="S9" t="s">
        <v>57</v>
      </c>
      <c r="T9" t="s">
        <v>51</v>
      </c>
      <c r="V9" t="s">
        <v>38</v>
      </c>
      <c r="W9" s="2" t="s">
        <v>203</v>
      </c>
      <c r="X9">
        <v>58</v>
      </c>
      <c r="Y9" s="2" t="s">
        <v>204</v>
      </c>
      <c r="Z9" t="s">
        <v>39</v>
      </c>
    </row>
    <row r="10" spans="2:26" ht="15" customHeight="1" thickBot="1" x14ac:dyDescent="0.4">
      <c r="B10" t="s">
        <v>161</v>
      </c>
      <c r="C10" t="s">
        <v>117</v>
      </c>
      <c r="D10" t="s">
        <v>49</v>
      </c>
      <c r="E10" t="s">
        <v>36</v>
      </c>
      <c r="F10" t="s">
        <v>17</v>
      </c>
      <c r="H10" t="s">
        <v>117</v>
      </c>
      <c r="I10" t="s">
        <v>118</v>
      </c>
      <c r="J10" t="s">
        <v>119</v>
      </c>
      <c r="K10" t="s">
        <v>120</v>
      </c>
      <c r="L10" t="s">
        <v>87</v>
      </c>
      <c r="R10" t="s">
        <v>59</v>
      </c>
      <c r="S10" t="s">
        <v>50</v>
      </c>
      <c r="T10" t="s">
        <v>55</v>
      </c>
      <c r="V10" t="s">
        <v>40</v>
      </c>
      <c r="W10" s="2" t="s">
        <v>205</v>
      </c>
      <c r="X10">
        <v>48</v>
      </c>
      <c r="Y10" s="2" t="s">
        <v>206</v>
      </c>
      <c r="Z10" t="s">
        <v>41</v>
      </c>
    </row>
    <row r="11" spans="2:26" ht="15" customHeight="1" thickBot="1" x14ac:dyDescent="0.4">
      <c r="B11" t="s">
        <v>162</v>
      </c>
      <c r="C11" t="s">
        <v>121</v>
      </c>
      <c r="D11" t="s">
        <v>71</v>
      </c>
      <c r="E11" t="s">
        <v>42</v>
      </c>
      <c r="F11" t="s">
        <v>9</v>
      </c>
      <c r="H11" t="s">
        <v>121</v>
      </c>
      <c r="I11" t="s">
        <v>122</v>
      </c>
      <c r="J11" t="s">
        <v>123</v>
      </c>
      <c r="K11" t="s">
        <v>124</v>
      </c>
      <c r="L11" t="s">
        <v>91</v>
      </c>
      <c r="N11" s="14" t="s">
        <v>236</v>
      </c>
      <c r="O11" s="14"/>
      <c r="R11" t="s">
        <v>60</v>
      </c>
      <c r="S11" t="s">
        <v>57</v>
      </c>
      <c r="T11" t="s">
        <v>55</v>
      </c>
      <c r="V11" t="s">
        <v>42</v>
      </c>
      <c r="W11" s="2" t="s">
        <v>207</v>
      </c>
      <c r="X11">
        <v>31</v>
      </c>
      <c r="Y11" s="2" t="s">
        <v>208</v>
      </c>
      <c r="Z11" t="s">
        <v>43</v>
      </c>
    </row>
    <row r="12" spans="2:26" ht="15" customHeight="1" thickBot="1" x14ac:dyDescent="0.4">
      <c r="B12" t="s">
        <v>163</v>
      </c>
      <c r="C12" t="s">
        <v>125</v>
      </c>
      <c r="D12" t="s">
        <v>71</v>
      </c>
      <c r="E12" t="s">
        <v>32</v>
      </c>
      <c r="F12" t="s">
        <v>23</v>
      </c>
      <c r="H12" t="s">
        <v>125</v>
      </c>
      <c r="I12" t="s">
        <v>126</v>
      </c>
      <c r="J12" t="s">
        <v>124</v>
      </c>
      <c r="K12" t="s">
        <v>127</v>
      </c>
      <c r="L12" t="s">
        <v>87</v>
      </c>
      <c r="R12" t="s">
        <v>61</v>
      </c>
      <c r="S12" t="s">
        <v>57</v>
      </c>
      <c r="T12" t="s">
        <v>62</v>
      </c>
      <c r="V12" t="s">
        <v>44</v>
      </c>
      <c r="W12" s="2" t="s">
        <v>209</v>
      </c>
      <c r="X12">
        <v>37</v>
      </c>
      <c r="Y12" s="2" t="s">
        <v>210</v>
      </c>
      <c r="Z12" t="s">
        <v>45</v>
      </c>
    </row>
    <row r="13" spans="2:26" ht="15" customHeight="1" x14ac:dyDescent="0.35">
      <c r="B13" t="s">
        <v>164</v>
      </c>
      <c r="C13" t="s">
        <v>128</v>
      </c>
      <c r="D13" t="s">
        <v>67</v>
      </c>
      <c r="E13" t="s">
        <v>44</v>
      </c>
      <c r="F13" t="s">
        <v>5</v>
      </c>
      <c r="H13" t="s">
        <v>128</v>
      </c>
      <c r="I13" t="s">
        <v>129</v>
      </c>
      <c r="J13" t="s">
        <v>130</v>
      </c>
      <c r="K13" t="s">
        <v>131</v>
      </c>
      <c r="L13" t="s">
        <v>171</v>
      </c>
      <c r="N13" s="9" t="s">
        <v>47</v>
      </c>
      <c r="O13" s="9" t="s">
        <v>76</v>
      </c>
      <c r="P13" s="9" t="s">
        <v>77</v>
      </c>
      <c r="R13" t="s">
        <v>63</v>
      </c>
      <c r="S13" t="s">
        <v>64</v>
      </c>
      <c r="T13" t="s">
        <v>62</v>
      </c>
    </row>
    <row r="14" spans="2:26" ht="15" customHeight="1" x14ac:dyDescent="0.35">
      <c r="B14" t="s">
        <v>165</v>
      </c>
      <c r="C14" t="s">
        <v>132</v>
      </c>
      <c r="D14" t="s">
        <v>66</v>
      </c>
      <c r="E14" t="s">
        <v>38</v>
      </c>
      <c r="F14" t="s">
        <v>11</v>
      </c>
      <c r="H14" t="s">
        <v>132</v>
      </c>
      <c r="I14" t="s">
        <v>133</v>
      </c>
      <c r="J14" t="s">
        <v>134</v>
      </c>
      <c r="K14" t="s">
        <v>135</v>
      </c>
      <c r="L14" t="s">
        <v>87</v>
      </c>
      <c r="N14" t="s">
        <v>57</v>
      </c>
      <c r="O14" t="s">
        <v>78</v>
      </c>
      <c r="P14">
        <v>350000</v>
      </c>
      <c r="R14" t="s">
        <v>65</v>
      </c>
      <c r="S14" t="s">
        <v>64</v>
      </c>
      <c r="T14" t="s">
        <v>62</v>
      </c>
      <c r="V14" s="14" t="s">
        <v>243</v>
      </c>
      <c r="W14" s="14"/>
    </row>
    <row r="15" spans="2:26" ht="15" customHeight="1" x14ac:dyDescent="0.35">
      <c r="B15" t="s">
        <v>166</v>
      </c>
      <c r="C15" t="s">
        <v>136</v>
      </c>
      <c r="D15" t="s">
        <v>58</v>
      </c>
      <c r="E15" t="s">
        <v>32</v>
      </c>
      <c r="F15" t="s">
        <v>11</v>
      </c>
      <c r="H15" t="s">
        <v>136</v>
      </c>
      <c r="I15" t="s">
        <v>137</v>
      </c>
      <c r="J15" t="s">
        <v>138</v>
      </c>
      <c r="K15" t="s">
        <v>135</v>
      </c>
      <c r="L15" t="s">
        <v>85</v>
      </c>
      <c r="N15" t="s">
        <v>64</v>
      </c>
      <c r="O15" t="s">
        <v>79</v>
      </c>
      <c r="P15">
        <v>500000</v>
      </c>
      <c r="R15" t="s">
        <v>66</v>
      </c>
      <c r="S15" t="s">
        <v>50</v>
      </c>
      <c r="T15" t="s">
        <v>51</v>
      </c>
    </row>
    <row r="16" spans="2:26" ht="15" customHeight="1" thickBot="1" x14ac:dyDescent="0.4">
      <c r="B16" t="s">
        <v>167</v>
      </c>
      <c r="C16" t="s">
        <v>139</v>
      </c>
      <c r="D16" t="s">
        <v>66</v>
      </c>
      <c r="E16" t="s">
        <v>38</v>
      </c>
      <c r="F16" t="s">
        <v>23</v>
      </c>
      <c r="H16" t="s">
        <v>139</v>
      </c>
      <c r="I16" t="s">
        <v>140</v>
      </c>
      <c r="J16" t="s">
        <v>141</v>
      </c>
      <c r="K16" t="s">
        <v>142</v>
      </c>
      <c r="L16" t="s">
        <v>91</v>
      </c>
      <c r="N16" t="s">
        <v>50</v>
      </c>
      <c r="O16" t="s">
        <v>80</v>
      </c>
      <c r="P16">
        <v>900000</v>
      </c>
      <c r="R16" t="s">
        <v>67</v>
      </c>
      <c r="S16" t="s">
        <v>64</v>
      </c>
      <c r="T16" t="s">
        <v>55</v>
      </c>
      <c r="V16" s="9" t="s">
        <v>0</v>
      </c>
      <c r="W16" s="9" t="s">
        <v>1</v>
      </c>
      <c r="X16" s="9" t="s">
        <v>2</v>
      </c>
      <c r="Y16" s="9" t="s">
        <v>3</v>
      </c>
      <c r="Z16" s="9" t="s">
        <v>4</v>
      </c>
    </row>
    <row r="17" spans="2:26" ht="15" customHeight="1" thickBot="1" x14ac:dyDescent="0.4">
      <c r="B17" t="s">
        <v>168</v>
      </c>
      <c r="C17" t="s">
        <v>143</v>
      </c>
      <c r="D17" t="s">
        <v>68</v>
      </c>
      <c r="E17" t="s">
        <v>40</v>
      </c>
      <c r="F17" t="s">
        <v>15</v>
      </c>
      <c r="H17" t="s">
        <v>143</v>
      </c>
      <c r="I17" t="s">
        <v>144</v>
      </c>
      <c r="J17" t="s">
        <v>145</v>
      </c>
      <c r="K17" t="s">
        <v>146</v>
      </c>
      <c r="L17" t="s">
        <v>85</v>
      </c>
      <c r="N17" t="s">
        <v>54</v>
      </c>
      <c r="O17" t="s">
        <v>81</v>
      </c>
      <c r="P17">
        <v>1200000</v>
      </c>
      <c r="R17" t="s">
        <v>68</v>
      </c>
      <c r="S17" t="s">
        <v>50</v>
      </c>
      <c r="T17" t="s">
        <v>62</v>
      </c>
      <c r="V17" t="s">
        <v>5</v>
      </c>
      <c r="W17" s="2" t="s">
        <v>175</v>
      </c>
      <c r="X17">
        <v>49</v>
      </c>
      <c r="Y17" s="2" t="s">
        <v>176</v>
      </c>
      <c r="Z17" t="s">
        <v>6</v>
      </c>
    </row>
    <row r="18" spans="2:26" ht="15" customHeight="1" thickBot="1" x14ac:dyDescent="0.4">
      <c r="B18" t="s">
        <v>169</v>
      </c>
      <c r="C18" t="s">
        <v>147</v>
      </c>
      <c r="D18" t="s">
        <v>53</v>
      </c>
      <c r="E18" t="s">
        <v>30</v>
      </c>
      <c r="F18" t="s">
        <v>9</v>
      </c>
      <c r="H18" t="s">
        <v>147</v>
      </c>
      <c r="I18" t="s">
        <v>148</v>
      </c>
      <c r="J18" t="s">
        <v>149</v>
      </c>
      <c r="K18" t="s">
        <v>150</v>
      </c>
      <c r="L18" t="s">
        <v>89</v>
      </c>
      <c r="N18" t="s">
        <v>174</v>
      </c>
      <c r="O18" t="s">
        <v>173</v>
      </c>
      <c r="P18">
        <v>2400000</v>
      </c>
      <c r="R18" t="s">
        <v>69</v>
      </c>
      <c r="S18" t="s">
        <v>174</v>
      </c>
      <c r="T18" t="s">
        <v>55</v>
      </c>
      <c r="V18" t="s">
        <v>7</v>
      </c>
      <c r="W18" s="2" t="s">
        <v>177</v>
      </c>
      <c r="X18">
        <v>22</v>
      </c>
      <c r="Y18" s="2" t="s">
        <v>178</v>
      </c>
      <c r="Z18" t="s">
        <v>8</v>
      </c>
    </row>
    <row r="19" spans="2:26" ht="15" customHeight="1" thickBot="1" x14ac:dyDescent="0.4">
      <c r="B19" t="s">
        <v>170</v>
      </c>
      <c r="C19" t="s">
        <v>151</v>
      </c>
      <c r="D19" t="s">
        <v>70</v>
      </c>
      <c r="E19" t="s">
        <v>34</v>
      </c>
      <c r="F19" t="s">
        <v>15</v>
      </c>
      <c r="H19" t="s">
        <v>151</v>
      </c>
      <c r="I19" t="s">
        <v>152</v>
      </c>
      <c r="J19" t="s">
        <v>153</v>
      </c>
      <c r="K19" t="s">
        <v>154</v>
      </c>
      <c r="L19" t="s">
        <v>85</v>
      </c>
      <c r="R19" t="s">
        <v>70</v>
      </c>
      <c r="S19" t="s">
        <v>50</v>
      </c>
      <c r="T19" t="s">
        <v>51</v>
      </c>
      <c r="V19" t="s">
        <v>9</v>
      </c>
      <c r="W19" s="2" t="s">
        <v>179</v>
      </c>
      <c r="X19">
        <v>35</v>
      </c>
      <c r="Y19" s="2" t="s">
        <v>180</v>
      </c>
      <c r="Z19" t="s">
        <v>10</v>
      </c>
    </row>
    <row r="20" spans="2:26" ht="15" customHeight="1" thickBot="1" x14ac:dyDescent="0.4">
      <c r="B20" t="s">
        <v>211</v>
      </c>
      <c r="C20" t="s">
        <v>222</v>
      </c>
      <c r="D20" t="s">
        <v>52</v>
      </c>
      <c r="E20" t="s">
        <v>32</v>
      </c>
      <c r="F20" t="s">
        <v>7</v>
      </c>
      <c r="H20" t="s">
        <v>222</v>
      </c>
      <c r="I20" t="s">
        <v>98</v>
      </c>
      <c r="J20" t="s">
        <v>99</v>
      </c>
      <c r="K20" t="s">
        <v>100</v>
      </c>
      <c r="L20" t="s">
        <v>171</v>
      </c>
      <c r="R20" t="s">
        <v>71</v>
      </c>
      <c r="S20" t="s">
        <v>50</v>
      </c>
      <c r="T20" t="s">
        <v>62</v>
      </c>
      <c r="V20" t="s">
        <v>11</v>
      </c>
      <c r="W20" s="2" t="s">
        <v>181</v>
      </c>
      <c r="X20">
        <v>29</v>
      </c>
      <c r="Y20" s="2" t="s">
        <v>182</v>
      </c>
      <c r="Z20" t="s">
        <v>12</v>
      </c>
    </row>
    <row r="21" spans="2:26" ht="15" customHeight="1" thickBot="1" x14ac:dyDescent="0.4">
      <c r="B21" t="s">
        <v>212</v>
      </c>
      <c r="C21" t="s">
        <v>223</v>
      </c>
      <c r="D21" t="s">
        <v>56</v>
      </c>
      <c r="E21" t="s">
        <v>30</v>
      </c>
      <c r="F21" t="s">
        <v>23</v>
      </c>
      <c r="H21" t="s">
        <v>223</v>
      </c>
      <c r="I21" t="s">
        <v>102</v>
      </c>
      <c r="J21" t="s">
        <v>103</v>
      </c>
      <c r="K21" t="s">
        <v>104</v>
      </c>
      <c r="L21" t="s">
        <v>85</v>
      </c>
      <c r="R21" t="s">
        <v>72</v>
      </c>
      <c r="S21" t="s">
        <v>50</v>
      </c>
      <c r="T21" t="s">
        <v>62</v>
      </c>
      <c r="V21" t="s">
        <v>13</v>
      </c>
      <c r="W21" s="2" t="s">
        <v>183</v>
      </c>
      <c r="X21">
        <v>27</v>
      </c>
      <c r="Y21" s="2" t="s">
        <v>184</v>
      </c>
      <c r="Z21" t="s">
        <v>14</v>
      </c>
    </row>
    <row r="22" spans="2:26" ht="15" customHeight="1" thickBot="1" x14ac:dyDescent="0.4">
      <c r="B22" t="s">
        <v>213</v>
      </c>
      <c r="C22" t="s">
        <v>224</v>
      </c>
      <c r="D22" t="s">
        <v>59</v>
      </c>
      <c r="E22" t="s">
        <v>32</v>
      </c>
      <c r="F22" t="s">
        <v>23</v>
      </c>
      <c r="H22" t="s">
        <v>224</v>
      </c>
      <c r="I22" t="s">
        <v>106</v>
      </c>
      <c r="J22" t="s">
        <v>107</v>
      </c>
      <c r="K22" t="s">
        <v>108</v>
      </c>
      <c r="L22" t="s">
        <v>87</v>
      </c>
      <c r="R22" t="s">
        <v>73</v>
      </c>
      <c r="S22" t="s">
        <v>54</v>
      </c>
      <c r="T22" t="s">
        <v>55</v>
      </c>
      <c r="V22" t="s">
        <v>15</v>
      </c>
      <c r="W22" s="2" t="s">
        <v>185</v>
      </c>
      <c r="X22">
        <v>38</v>
      </c>
      <c r="Y22" s="2" t="s">
        <v>186</v>
      </c>
      <c r="Z22" t="s">
        <v>16</v>
      </c>
    </row>
    <row r="23" spans="2:26" ht="15" customHeight="1" thickBot="1" x14ac:dyDescent="0.4">
      <c r="B23" t="s">
        <v>214</v>
      </c>
      <c r="C23" t="s">
        <v>225</v>
      </c>
      <c r="D23" t="s">
        <v>60</v>
      </c>
      <c r="E23" t="s">
        <v>44</v>
      </c>
      <c r="F23" t="s">
        <v>21</v>
      </c>
      <c r="H23" t="s">
        <v>225</v>
      </c>
      <c r="I23" t="s">
        <v>110</v>
      </c>
      <c r="J23" t="s">
        <v>111</v>
      </c>
      <c r="K23" t="s">
        <v>112</v>
      </c>
      <c r="L23" t="s">
        <v>89</v>
      </c>
      <c r="R23" t="s">
        <v>74</v>
      </c>
      <c r="S23" t="s">
        <v>57</v>
      </c>
      <c r="T23" t="s">
        <v>62</v>
      </c>
      <c r="V23" t="s">
        <v>17</v>
      </c>
      <c r="W23" s="2" t="s">
        <v>187</v>
      </c>
      <c r="X23">
        <v>54</v>
      </c>
      <c r="Y23" s="2" t="s">
        <v>188</v>
      </c>
      <c r="Z23" t="s">
        <v>18</v>
      </c>
    </row>
    <row r="24" spans="2:26" ht="15" customHeight="1" thickBot="1" x14ac:dyDescent="0.4">
      <c r="B24" t="s">
        <v>215</v>
      </c>
      <c r="C24" t="s">
        <v>226</v>
      </c>
      <c r="D24" t="s">
        <v>61</v>
      </c>
      <c r="E24" t="s">
        <v>44</v>
      </c>
      <c r="F24" t="s">
        <v>23</v>
      </c>
      <c r="H24" t="s">
        <v>226</v>
      </c>
      <c r="I24" t="s">
        <v>114</v>
      </c>
      <c r="J24" t="s">
        <v>115</v>
      </c>
      <c r="K24" t="s">
        <v>116</v>
      </c>
      <c r="L24" t="s">
        <v>171</v>
      </c>
      <c r="R24" t="s">
        <v>75</v>
      </c>
      <c r="S24" t="s">
        <v>174</v>
      </c>
      <c r="T24" t="s">
        <v>62</v>
      </c>
      <c r="V24" t="s">
        <v>19</v>
      </c>
      <c r="W24" s="2" t="s">
        <v>189</v>
      </c>
      <c r="X24">
        <v>53</v>
      </c>
      <c r="Y24" t="s">
        <v>190</v>
      </c>
      <c r="Z24" s="1" t="s">
        <v>20</v>
      </c>
    </row>
    <row r="25" spans="2:26" ht="15" customHeight="1" thickBot="1" x14ac:dyDescent="0.4">
      <c r="B25" t="s">
        <v>216</v>
      </c>
      <c r="C25" t="s">
        <v>227</v>
      </c>
      <c r="D25" t="s">
        <v>63</v>
      </c>
      <c r="E25" t="s">
        <v>36</v>
      </c>
      <c r="F25" t="s">
        <v>17</v>
      </c>
      <c r="H25" t="s">
        <v>227</v>
      </c>
      <c r="I25" t="s">
        <v>118</v>
      </c>
      <c r="J25" t="s">
        <v>119</v>
      </c>
      <c r="K25" t="s">
        <v>120</v>
      </c>
      <c r="L25" t="s">
        <v>87</v>
      </c>
      <c r="V25" t="s">
        <v>21</v>
      </c>
      <c r="W25" s="2" t="s">
        <v>191</v>
      </c>
      <c r="X25">
        <v>45</v>
      </c>
      <c r="Y25" s="2" t="s">
        <v>192</v>
      </c>
      <c r="Z25" t="s">
        <v>22</v>
      </c>
    </row>
    <row r="26" spans="2:26" ht="15" customHeight="1" thickBot="1" x14ac:dyDescent="0.4">
      <c r="B26" t="s">
        <v>217</v>
      </c>
      <c r="C26" t="s">
        <v>228</v>
      </c>
      <c r="D26" t="s">
        <v>69</v>
      </c>
      <c r="E26" t="s">
        <v>42</v>
      </c>
      <c r="F26" t="s">
        <v>9</v>
      </c>
      <c r="H26" t="s">
        <v>228</v>
      </c>
      <c r="I26" t="s">
        <v>122</v>
      </c>
      <c r="J26" t="s">
        <v>123</v>
      </c>
      <c r="K26" t="s">
        <v>124</v>
      </c>
      <c r="L26" t="s">
        <v>91</v>
      </c>
      <c r="V26" t="s">
        <v>23</v>
      </c>
      <c r="W26" s="2" t="s">
        <v>193</v>
      </c>
      <c r="X26">
        <v>27</v>
      </c>
      <c r="Y26" s="2" t="s">
        <v>194</v>
      </c>
      <c r="Z26" t="s">
        <v>24</v>
      </c>
    </row>
    <row r="27" spans="2:26" ht="15" customHeight="1" x14ac:dyDescent="0.35">
      <c r="B27" t="s">
        <v>218</v>
      </c>
      <c r="C27" t="s">
        <v>229</v>
      </c>
      <c r="D27" t="s">
        <v>72</v>
      </c>
      <c r="E27" t="s">
        <v>32</v>
      </c>
      <c r="F27" t="s">
        <v>23</v>
      </c>
      <c r="H27" t="s">
        <v>229</v>
      </c>
      <c r="I27" t="s">
        <v>126</v>
      </c>
      <c r="J27" t="s">
        <v>124</v>
      </c>
      <c r="K27" t="s">
        <v>127</v>
      </c>
      <c r="L27" t="s">
        <v>87</v>
      </c>
    </row>
    <row r="28" spans="2:26" ht="15" customHeight="1" x14ac:dyDescent="0.35">
      <c r="B28" t="s">
        <v>219</v>
      </c>
      <c r="C28" t="s">
        <v>230</v>
      </c>
      <c r="D28" t="s">
        <v>73</v>
      </c>
      <c r="E28" t="s">
        <v>44</v>
      </c>
      <c r="F28" t="s">
        <v>5</v>
      </c>
      <c r="H28" t="s">
        <v>230</v>
      </c>
      <c r="I28" t="s">
        <v>129</v>
      </c>
      <c r="J28" t="s">
        <v>130</v>
      </c>
      <c r="K28" t="s">
        <v>131</v>
      </c>
      <c r="L28" t="s">
        <v>171</v>
      </c>
    </row>
    <row r="29" spans="2:26" ht="15" customHeight="1" x14ac:dyDescent="0.35">
      <c r="B29" t="s">
        <v>220</v>
      </c>
      <c r="C29" t="s">
        <v>231</v>
      </c>
      <c r="D29" t="s">
        <v>74</v>
      </c>
      <c r="E29" t="s">
        <v>38</v>
      </c>
      <c r="F29" t="s">
        <v>11</v>
      </c>
      <c r="H29" t="s">
        <v>231</v>
      </c>
      <c r="I29" t="s">
        <v>133</v>
      </c>
      <c r="J29" t="s">
        <v>134</v>
      </c>
      <c r="K29" t="s">
        <v>135</v>
      </c>
      <c r="L29" t="s">
        <v>87</v>
      </c>
    </row>
    <row r="30" spans="2:26" ht="15" customHeight="1" x14ac:dyDescent="0.35">
      <c r="B30" t="s">
        <v>221</v>
      </c>
      <c r="C30" t="s">
        <v>232</v>
      </c>
      <c r="D30" t="s">
        <v>75</v>
      </c>
      <c r="E30" t="s">
        <v>32</v>
      </c>
      <c r="F30" t="s">
        <v>11</v>
      </c>
      <c r="H30" t="s">
        <v>232</v>
      </c>
      <c r="I30" t="s">
        <v>137</v>
      </c>
      <c r="J30" t="s">
        <v>138</v>
      </c>
      <c r="K30" t="s">
        <v>135</v>
      </c>
      <c r="L30" t="s">
        <v>85</v>
      </c>
    </row>
  </sheetData>
  <mergeCells count="7">
    <mergeCell ref="V14:W14"/>
    <mergeCell ref="V2:W2"/>
    <mergeCell ref="B2:C2"/>
    <mergeCell ref="H2:I2"/>
    <mergeCell ref="N2:O2"/>
    <mergeCell ref="R2:S2"/>
    <mergeCell ref="N11:O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unf</vt:lpstr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hansrich89@gmail.com</cp:lastModifiedBy>
  <dcterms:created xsi:type="dcterms:W3CDTF">2025-09-21T03:48:50Z</dcterms:created>
  <dcterms:modified xsi:type="dcterms:W3CDTF">2025-12-07T06:48:35Z</dcterms:modified>
</cp:coreProperties>
</file>